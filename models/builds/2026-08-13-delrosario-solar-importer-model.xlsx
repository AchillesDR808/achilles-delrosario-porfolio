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hil\Documents\"/>
    </mc:Choice>
  </mc:AlternateContent>
  <xr:revisionPtr revIDLastSave="0" documentId="13_ncr:1_{25D04B0E-AD54-4F96-85E3-05A4A74386CB}" xr6:coauthVersionLast="47" xr6:coauthVersionMax="47" xr10:uidLastSave="{00000000-0000-0000-0000-000000000000}"/>
  <bookViews>
    <workbookView xWindow="-98" yWindow="-98" windowWidth="21795" windowHeight="12975" firstSheet="2" activeTab="4" xr2:uid="{00000000-000D-0000-FFFF-FFFF00000000}"/>
  </bookViews>
  <sheets>
    <sheet name="Cover" sheetId="1" r:id="rId1"/>
    <sheet name="Legend_Key" sheetId="2" r:id="rId2"/>
    <sheet name="Inputs" sheetId="3" r:id="rId3"/>
    <sheet name="Forward_Calc" sheetId="4" r:id="rId4"/>
    <sheet name="Money_Market_Calc" sheetId="5" r:id="rId5"/>
    <sheet name="Option_Calc" sheetId="6" r:id="rId6"/>
    <sheet name="Sensitivity" sheetId="7" r:id="rId7"/>
    <sheet name="Checks" sheetId="8" r:id="rId8"/>
    <sheet name="Notes_Assumptions" sheetId="9" r:id="rId9"/>
  </sheets>
  <definedNames>
    <definedName name="F0_in">Inputs!$B$6</definedName>
    <definedName name="FC_AMT">Inputs!$B$4</definedName>
    <definedName name="K_CALL">Inputs!$B$10</definedName>
    <definedName name="K_PUT">Inputs!$B$9</definedName>
    <definedName name="PREM_CALL">Inputs!$B$12</definedName>
    <definedName name="PREM_PUT">Inputs!$B$11</definedName>
    <definedName name="R_FC">Inputs!$B$8</definedName>
    <definedName name="R_USD">Inputs!$B$7</definedName>
    <definedName name="S0_in">Inputs!$B$5</definedName>
    <definedName name="T_DAYS">Inputs!$B$13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E9" i="8"/>
  <c r="C9" i="8"/>
  <c r="E8" i="8"/>
  <c r="C8" i="8"/>
  <c r="E7" i="8"/>
  <c r="C7" i="8"/>
  <c r="D7" i="8" s="1"/>
  <c r="F7" i="8" s="1"/>
  <c r="B7" i="8"/>
  <c r="E6" i="8"/>
  <c r="C6" i="8"/>
  <c r="B6" i="8"/>
  <c r="D6" i="8" s="1"/>
  <c r="F6" i="8" s="1"/>
  <c r="E5" i="8"/>
  <c r="E4" i="8"/>
  <c r="C4" i="8"/>
  <c r="B4" i="8"/>
  <c r="D4" i="8" s="1"/>
  <c r="F4" i="8" s="1"/>
  <c r="E15" i="7"/>
  <c r="A15" i="7"/>
  <c r="B15" i="7" s="1"/>
  <c r="A14" i="7"/>
  <c r="E14" i="7" s="1"/>
  <c r="A13" i="7"/>
  <c r="E13" i="7" s="1"/>
  <c r="A12" i="7"/>
  <c r="E12" i="7" s="1"/>
  <c r="C11" i="7"/>
  <c r="A11" i="7"/>
  <c r="E11" i="7" s="1"/>
  <c r="A10" i="7"/>
  <c r="E10" i="7" s="1"/>
  <c r="A9" i="7"/>
  <c r="E9" i="7" s="1"/>
  <c r="A8" i="7"/>
  <c r="E8" i="7" s="1"/>
  <c r="A7" i="7"/>
  <c r="C6" i="7"/>
  <c r="A6" i="7"/>
  <c r="A5" i="7"/>
  <c r="E5" i="7" s="1"/>
  <c r="B6" i="6"/>
  <c r="B5" i="6"/>
  <c r="B9" i="6" s="1"/>
  <c r="B4" i="6"/>
  <c r="C8" i="5"/>
  <c r="C9" i="5" s="1"/>
  <c r="C4" i="5"/>
  <c r="C5" i="5" s="1"/>
  <c r="B6" i="4"/>
  <c r="A15" i="1" s="1"/>
  <c r="B5" i="4"/>
  <c r="B4" i="4"/>
  <c r="C15" i="1"/>
  <c r="B8" i="1"/>
  <c r="B9" i="8" l="1"/>
  <c r="D9" i="8" s="1"/>
  <c r="F9" i="8" s="1"/>
  <c r="B6" i="7"/>
  <c r="B8" i="8"/>
  <c r="D8" i="8" s="1"/>
  <c r="F8" i="8" s="1"/>
  <c r="E6" i="7"/>
  <c r="B7" i="6"/>
  <c r="D15" i="7"/>
  <c r="D10" i="7"/>
  <c r="D5" i="7"/>
  <c r="D14" i="7"/>
  <c r="D9" i="7"/>
  <c r="D13" i="7"/>
  <c r="D8" i="7"/>
  <c r="C10" i="5"/>
  <c r="D12" i="7"/>
  <c r="D7" i="7"/>
  <c r="B5" i="8"/>
  <c r="D11" i="7"/>
  <c r="D6" i="7"/>
  <c r="B15" i="1"/>
  <c r="B11" i="7"/>
  <c r="B7" i="7"/>
  <c r="C7" i="7"/>
  <c r="B12" i="7"/>
  <c r="C12" i="7"/>
  <c r="C5" i="8"/>
  <c r="E7" i="7"/>
  <c r="B8" i="7"/>
  <c r="C8" i="7"/>
  <c r="B13" i="7"/>
  <c r="C13" i="7"/>
  <c r="B9" i="7"/>
  <c r="C9" i="7"/>
  <c r="B14" i="7"/>
  <c r="C14" i="7"/>
  <c r="B5" i="7"/>
  <c r="C5" i="7"/>
  <c r="B10" i="7"/>
  <c r="C10" i="7"/>
  <c r="C15" i="7"/>
  <c r="B8" i="6" l="1"/>
  <c r="D15" i="1" s="1"/>
  <c r="D5" i="8"/>
  <c r="F5" i="8" s="1"/>
  <c r="F10" i="8" s="1"/>
  <c r="B9" i="1" s="1"/>
</calcChain>
</file>

<file path=xl/sharedStrings.xml><?xml version="1.0" encoding="utf-8"?>
<sst xmlns="http://schemas.openxmlformats.org/spreadsheetml/2006/main" count="216" uniqueCount="147">
  <si>
    <t>FX Transaction Hedge Model</t>
  </si>
  <si>
    <t>Scenario 1 — U.S. Solar Equipment Importer | EUR 4,500,000 Receivable</t>
  </si>
  <si>
    <t>Prepared by</t>
  </si>
  <si>
    <t>Achilles Del Rosario</t>
  </si>
  <si>
    <t>Settlement date</t>
  </si>
  <si>
    <t>2027-08-13</t>
  </si>
  <si>
    <t>Rate convention</t>
  </si>
  <si>
    <t>USD per EUR; ACT/360 simple interest</t>
  </si>
  <si>
    <t>Indicative forward</t>
  </si>
  <si>
    <t>Model status</t>
  </si>
  <si>
    <t>Purpose</t>
  </si>
  <si>
    <t>Compare USD proceeds from forward, money-market, and put hedges</t>
  </si>
  <si>
    <t>Formula-Driven Summary (Settlement-Date USD Proceeds)</t>
  </si>
  <si>
    <t>Forward Hedge</t>
  </si>
  <si>
    <t>Money-Market Hedge</t>
  </si>
  <si>
    <t>Put Hedge at Spot</t>
  </si>
  <si>
    <t>Put Floor</t>
  </si>
  <si>
    <t>Use the Inputs tab to replace all indicative placeholders with live market data. Gray cells are formula-driven outputs. See Checks for the parity, repayment, option-continuity, and sensitivity-grid audit checklist.</t>
  </si>
  <si>
    <t>Legend / Key</t>
  </si>
  <si>
    <t>Cell convention</t>
  </si>
  <si>
    <t>Appearance</t>
  </si>
  <si>
    <t>Meaning</t>
  </si>
  <si>
    <t>Editable input</t>
  </si>
  <si>
    <t>Yellow fill / blue text</t>
  </si>
  <si>
    <t>Indicative placeholder; replace at Stage 4</t>
  </si>
  <si>
    <t>Formula / calculation</t>
  </si>
  <si>
    <t>White fill / black text</t>
  </si>
  <si>
    <t>Calculated from named ranges or linked formulas</t>
  </si>
  <si>
    <t>Cross-sheet link</t>
  </si>
  <si>
    <t>White fill / green text</t>
  </si>
  <si>
    <t>Formula references another workbook tab</t>
  </si>
  <si>
    <t>Output</t>
  </si>
  <si>
    <t>Gray fill / black bold text</t>
  </si>
  <si>
    <t>Formula-driven summary result</t>
  </si>
  <si>
    <t>All rates are USD per EUR. A decline in EURUSD is adverse to this EUR receivable. Money-market calculations use ACT/360 simple interest. The model excludes transaction costs, taxes, hedge accounting, credit risk, collateral, and premium financing.</t>
  </si>
  <si>
    <t>Inputs — Scenario 1: U.S. Solar Equipment Importer</t>
  </si>
  <si>
    <t>Named Range</t>
  </si>
  <si>
    <t>Indicative Placeholder</t>
  </si>
  <si>
    <t>Unit / Basis</t>
  </si>
  <si>
    <t>Stage 4 Source</t>
  </si>
  <si>
    <t>Status</t>
  </si>
  <si>
    <t>Notes</t>
  </si>
  <si>
    <t>FC_AMT</t>
  </si>
  <si>
    <t>EUR</t>
  </si>
  <si>
    <t>Receivables contract / ledger</t>
  </si>
  <si>
    <t>Indicative</t>
  </si>
  <si>
    <t>Foreign-currency receivable</t>
  </si>
  <si>
    <t>S0_in</t>
  </si>
  <si>
    <t>USD per EUR</t>
  </si>
  <si>
    <t>ECB EUR exchange-rate reference</t>
  </si>
  <si>
    <t>Spot at inception</t>
  </si>
  <si>
    <t>F0_in</t>
  </si>
  <si>
    <t>Assigned scenario; Stage 4: executable bank/dealer quote</t>
  </si>
  <si>
    <t>One-year EURUSD forward</t>
  </si>
  <si>
    <t>R_USD</t>
  </si>
  <si>
    <t>Annual %, ACT/360</t>
  </si>
  <si>
    <t>U.S. Treasury 1-year yield or USD money-market rate</t>
  </si>
  <si>
    <t>USD simple-interest rate</t>
  </si>
  <si>
    <t>R_FC</t>
  </si>
  <si>
    <t>ECB euro-area money-market / EUR deposit rate</t>
  </si>
  <si>
    <t>Parity-consistent placeholder</t>
  </si>
  <si>
    <t>K_PUT</t>
  </si>
  <si>
    <t>OTC dealer strike</t>
  </si>
  <si>
    <t>Put strike, at/near spot</t>
  </si>
  <si>
    <t>K_CALL</t>
  </si>
  <si>
    <t>Standard-contract input; unused for receivable</t>
  </si>
  <si>
    <t>PREM_PUT</t>
  </si>
  <si>
    <t>OTC EUR put premium</t>
  </si>
  <si>
    <t>Premium paid at inception</t>
  </si>
  <si>
    <t>PREM_CALL</t>
  </si>
  <si>
    <t>OTC EUR call premium</t>
  </si>
  <si>
    <t>T_DAYS</t>
  </si>
  <si>
    <t>Days</t>
  </si>
  <si>
    <t>2026-08-13 to 2027-08-13</t>
  </si>
  <si>
    <t>Settlement horizon</t>
  </si>
  <si>
    <t>All yellow/blue cells are editable placeholders and must be replaced with live, sourced market data at Stage 4. All downstream outputs are formulas.</t>
  </si>
  <si>
    <t>Forward Hedge Calculation</t>
  </si>
  <si>
    <t>Calculation</t>
  </si>
  <si>
    <t>USD Proceeds</t>
  </si>
  <si>
    <t>Foreign-currency receivable (EUR)</t>
  </si>
  <si>
    <t>Forward rate (USD/EUR)</t>
  </si>
  <si>
    <t>USD_FWD</t>
  </si>
  <si>
    <t>Forward hedge locks the settlement-date USD proceeds at FC_AMT × F0_in. It is invariant across the sensitivity grid.</t>
  </si>
  <si>
    <t>Money-Market Hedge Calculation</t>
  </si>
  <si>
    <t>Step</t>
  </si>
  <si>
    <t>Formula logic</t>
  </si>
  <si>
    <t>Value</t>
  </si>
  <si>
    <t>1</t>
  </si>
  <si>
    <t>FC_BORROW = FC_AMT / (1 + R_FC × T_DAYS/360)</t>
  </si>
  <si>
    <t>2</t>
  </si>
  <si>
    <t>USD_NOW = FC_BORROW × S0_in</t>
  </si>
  <si>
    <t>3</t>
  </si>
  <si>
    <t>USD_MM = USD_NOW × (1 + R_USD × T_DAYS/360)</t>
  </si>
  <si>
    <t>F_IMPLIED = S0_in × (1 + R_USD × T_DAYS/360) / (1 + R_FC × T_DAYS/360)</t>
  </si>
  <si>
    <t>Parity delta: F_IMPLIED − F0_in</t>
  </si>
  <si>
    <t>USD_MM − USD_FWD</t>
  </si>
  <si>
    <t>At settlement, the EUR receivable repays the FC borrowing and interest exactly. USD_MM is the locked USD proceed. The parity check compares F_IMPLIED with F0_in and USD_MM with USD_FWD.</t>
  </si>
  <si>
    <t>Put Option Hedge Calculation</t>
  </si>
  <si>
    <t>Put premium paid today</t>
  </si>
  <si>
    <t>Base-case settlement spot (S0_in)</t>
  </si>
  <si>
    <t>USD_PUT at S0_in</t>
  </si>
  <si>
    <t>Lowest sensitivity spot</t>
  </si>
  <si>
    <t>USD_FLOOR_PUT</t>
  </si>
  <si>
    <t>Option payoff rule</t>
  </si>
  <si>
    <t>The put establishes a floor at K_PUT less the premium: USD_PUT(S_T) = FC_AMT × MAX(S_T, K_PUT) − FC_AMT × PREM_PUT. It participates in EUR appreciation above the strike.</t>
  </si>
  <si>
    <t>Sensitivity — Settlement Spot ±5%</t>
  </si>
  <si>
    <t>S_T (USD/EUR)</t>
  </si>
  <si>
    <t>USD_NO_HEDGE</t>
  </si>
  <si>
    <t>USD_MM</t>
  </si>
  <si>
    <t>USD_PUT</t>
  </si>
  <si>
    <t>CFO takeaway</t>
  </si>
  <si>
    <t>The unhedged outcome moves one-for-one with EURUSD. The forward and money-market strategies provide fixed USD proceeds. The put preserves a downside floor while retaining upside when EURUSD rises above K_PUT.</t>
  </si>
  <si>
    <t>Validation Checks</t>
  </si>
  <si>
    <t>Check</t>
  </si>
  <si>
    <t>Actual</t>
  </si>
  <si>
    <t>Expected</t>
  </si>
  <si>
    <t>Difference</t>
  </si>
  <si>
    <t>Tolerance</t>
  </si>
  <si>
    <t>Forward parity: F_IMPLIED ≈ F0_in</t>
  </si>
  <si>
    <t>USD/EUR</t>
  </si>
  <si>
    <t>MM proceeds ≈ forward proceeds</t>
  </si>
  <si>
    <t>USD</t>
  </si>
  <si>
    <t>FC borrowing repays receivable</t>
  </si>
  <si>
    <t>Put continuity at strike</t>
  </si>
  <si>
    <t>USD at strike</t>
  </si>
  <si>
    <t>Sensitivity grid: 11 rows</t>
  </si>
  <si>
    <t>Required 11 scenarios</t>
  </si>
  <si>
    <t>Sensitivity grid contains S0_in</t>
  </si>
  <si>
    <t>Baseline included</t>
  </si>
  <si>
    <t>Overall Model Status</t>
  </si>
  <si>
    <t>Notes &amp; Assumptions</t>
  </si>
  <si>
    <t>Topic</t>
  </si>
  <si>
    <t>Specification</t>
  </si>
  <si>
    <t>Scenario</t>
  </si>
  <si>
    <t>Scenario 1 — U.S. Solar Equipment Importer; EUR 4,500,000 receivable</t>
  </si>
  <si>
    <t>Settlement</t>
  </si>
  <si>
    <t>2027-08-13; T_DAYS = 365</t>
  </si>
  <si>
    <t>Quote convention</t>
  </si>
  <si>
    <t>USD per EUR; lower EURUSD is adverse to the receivable</t>
  </si>
  <si>
    <t>Rate basis</t>
  </si>
  <si>
    <t>ACT/360 simple interest for both legs</t>
  </si>
  <si>
    <t>Premium treatment</t>
  </si>
  <si>
    <t>USD premium paid at inception; deducted from reported settlement proceeds without financing</t>
  </si>
  <si>
    <t>Excluded items</t>
  </si>
  <si>
    <t>Transaction costs, bid-ask, taxes, hedge accounting, credit risk, collateral, and premium financing</t>
  </si>
  <si>
    <t>Stage 4 data protocol</t>
  </si>
  <si>
    <t>Replace all yellow/blue inputs with live, sourced values and record access 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</si>
</sst>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;\-"/>
    <numFmt numFmtId="165" formatCode="0.000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sz val="11"/>
      <color rgb="FF7F6000"/>
      <name val="Carlito"/>
    </font>
    <font>
      <i/>
      <sz val="11"/>
      <color rgb="FF024731"/>
      <name val="Carlito"/>
    </font>
    <font>
      <b/>
      <sz val="12"/>
      <color rgb="FF024731"/>
      <name val="Carlito"/>
    </font>
    <font>
      <b/>
      <sz val="11"/>
      <color rgb="FF024731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24731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E6F2EF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4" fillId="0" borderId="2" xfId="0" applyFont="1" applyBorder="1"/>
    <xf numFmtId="0" fontId="4" fillId="0" borderId="5" xfId="0" applyFont="1" applyBorder="1"/>
    <xf numFmtId="0" fontId="4" fillId="0" borderId="8" xfId="0" applyFont="1" applyBorder="1"/>
    <xf numFmtId="164" fontId="3" fillId="3" borderId="3" xfId="0" applyNumberFormat="1" applyFont="1" applyFill="1" applyBorder="1" applyAlignment="1">
      <alignment horizontal="right"/>
    </xf>
    <xf numFmtId="165" fontId="3" fillId="3" borderId="6" xfId="0" applyNumberFormat="1" applyFont="1" applyFill="1" applyBorder="1" applyAlignment="1">
      <alignment horizontal="right"/>
    </xf>
    <xf numFmtId="10" fontId="3" fillId="3" borderId="6" xfId="0" applyNumberFormat="1" applyFont="1" applyFill="1" applyBorder="1" applyAlignment="1">
      <alignment horizontal="right"/>
    </xf>
    <xf numFmtId="165" fontId="3" fillId="3" borderId="9" xfId="0" applyNumberFormat="1" applyFont="1" applyFill="1" applyBorder="1" applyAlignment="1">
      <alignment horizontal="right"/>
    </xf>
    <xf numFmtId="0" fontId="5" fillId="4" borderId="3" xfId="0" applyFont="1" applyFill="1" applyBorder="1"/>
    <xf numFmtId="0" fontId="5" fillId="4" borderId="6" xfId="0" applyFont="1" applyFill="1" applyBorder="1"/>
    <xf numFmtId="0" fontId="5" fillId="4" borderId="9" xfId="0" applyFont="1" applyFill="1" applyBorder="1"/>
    <xf numFmtId="165" fontId="0" fillId="0" borderId="0" xfId="0" applyNumberFormat="1"/>
    <xf numFmtId="0" fontId="8" fillId="5" borderId="1" xfId="0" applyFont="1" applyFill="1" applyBorder="1"/>
    <xf numFmtId="0" fontId="0" fillId="0" borderId="1" xfId="0" applyBorder="1"/>
    <xf numFmtId="165" fontId="0" fillId="0" borderId="1" xfId="0" applyNumberFormat="1" applyBorder="1"/>
    <xf numFmtId="164" fontId="4" fillId="6" borderId="11" xfId="0" applyNumberFormat="1" applyFont="1" applyFill="1" applyBorder="1"/>
    <xf numFmtId="164" fontId="4" fillId="6" borderId="12" xfId="0" applyNumberFormat="1" applyFont="1" applyFill="1" applyBorder="1"/>
    <xf numFmtId="164" fontId="4" fillId="6" borderId="13" xfId="0" applyNumberFormat="1" applyFont="1" applyFill="1" applyBorder="1"/>
    <xf numFmtId="0" fontId="3" fillId="3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4" fillId="6" borderId="1" xfId="0" applyFont="1" applyFill="1" applyBorder="1"/>
    <xf numFmtId="3" fontId="0" fillId="0" borderId="0" xfId="0" applyNumberFormat="1"/>
    <xf numFmtId="164" fontId="4" fillId="6" borderId="1" xfId="0" applyNumberFormat="1" applyFont="1" applyFill="1" applyBorder="1"/>
    <xf numFmtId="164" fontId="0" fillId="0" borderId="0" xfId="0" applyNumberFormat="1"/>
    <xf numFmtId="0" fontId="2" fillId="2" borderId="6" xfId="0" applyFont="1" applyFill="1" applyBorder="1" applyAlignment="1">
      <alignment horizontal="center" vertical="center" wrapText="1"/>
    </xf>
    <xf numFmtId="165" fontId="0" fillId="0" borderId="6" xfId="0" applyNumberFormat="1" applyBorder="1"/>
    <xf numFmtId="164" fontId="0" fillId="0" borderId="6" xfId="0" applyNumberFormat="1" applyBorder="1"/>
    <xf numFmtId="165" fontId="11" fillId="5" borderId="6" xfId="0" applyNumberFormat="1" applyFont="1" applyFill="1" applyBorder="1"/>
    <xf numFmtId="164" fontId="11" fillId="5" borderId="6" xfId="0" applyNumberFormat="1" applyFont="1" applyFill="1" applyBorder="1"/>
    <xf numFmtId="3" fontId="0" fillId="0" borderId="6" xfId="0" applyNumberFormat="1" applyBorder="1"/>
    <xf numFmtId="0" fontId="8" fillId="5" borderId="6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/>
    <xf numFmtId="0" fontId="8" fillId="5" borderId="11" xfId="0" applyFont="1" applyFill="1" applyBorder="1"/>
    <xf numFmtId="0" fontId="8" fillId="5" borderId="12" xfId="0" applyFont="1" applyFill="1" applyBorder="1"/>
    <xf numFmtId="0" fontId="8" fillId="5" borderId="13" xfId="0" applyFont="1" applyFill="1" applyBorder="1"/>
    <xf numFmtId="0" fontId="0" fillId="7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USD Proceeds by Settlement EURUSD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USD_NO_HEDGE</c:v>
          </c:tx>
          <c:marker>
            <c:symbol val="none"/>
          </c:marker>
          <c:cat>
            <c:numRef>
              <c:f>Sensitivity!$A$4:$A$15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Sensitivity!$B$4:$B$15</c:f>
              <c:numCache>
                <c:formatCode>\$#,##0;[Red]\(\$#,##0\);\-</c:formatCode>
                <c:ptCount val="12"/>
                <c:pt idx="1">
                  <c:v>4702500</c:v>
                </c:pt>
                <c:pt idx="2">
                  <c:v>4752000</c:v>
                </c:pt>
                <c:pt idx="3">
                  <c:v>4801500</c:v>
                </c:pt>
                <c:pt idx="4">
                  <c:v>4851000</c:v>
                </c:pt>
                <c:pt idx="5">
                  <c:v>4900500</c:v>
                </c:pt>
                <c:pt idx="6">
                  <c:v>4950000</c:v>
                </c:pt>
                <c:pt idx="7">
                  <c:v>4999500.0000000009</c:v>
                </c:pt>
                <c:pt idx="8">
                  <c:v>5049000.0000000009</c:v>
                </c:pt>
                <c:pt idx="9">
                  <c:v>5098500.0000000009</c:v>
                </c:pt>
                <c:pt idx="10">
                  <c:v>5148000.0000000009</c:v>
                </c:pt>
                <c:pt idx="11">
                  <c:v>5197500.0000000009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8-4A58-A6DF-EC21C98CB338}"/>
            </c:ext>
          </c:extLst>
        </c:ser>
        <c:ser>
          <c:idx val="1"/>
          <c:order val="1"/>
          <c:tx>
            <c:v>USD_FWD</c:v>
          </c:tx>
          <c:marker>
            <c:symbol val="none"/>
          </c:marker>
          <c:cat>
            <c:numRef>
              <c:f>Sensitivity!$A$4:$A$15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Sensitivity!$C$4:$C$15</c:f>
              <c:numCache>
                <c:formatCode>\$#,##0;[Red]\(\$#,##0\);\-</c:formatCode>
                <c:ptCount val="12"/>
                <c:pt idx="1">
                  <c:v>4893750</c:v>
                </c:pt>
                <c:pt idx="2">
                  <c:v>4893750</c:v>
                </c:pt>
                <c:pt idx="3">
                  <c:v>4893750</c:v>
                </c:pt>
                <c:pt idx="4">
                  <c:v>4893750</c:v>
                </c:pt>
                <c:pt idx="5">
                  <c:v>4893750</c:v>
                </c:pt>
                <c:pt idx="6">
                  <c:v>4893750</c:v>
                </c:pt>
                <c:pt idx="7">
                  <c:v>4893750</c:v>
                </c:pt>
                <c:pt idx="8">
                  <c:v>4893750</c:v>
                </c:pt>
                <c:pt idx="9">
                  <c:v>4893750</c:v>
                </c:pt>
                <c:pt idx="10">
                  <c:v>4893750</c:v>
                </c:pt>
                <c:pt idx="11">
                  <c:v>4893750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88-4A58-A6DF-EC21C98CB338}"/>
            </c:ext>
          </c:extLst>
        </c:ser>
        <c:ser>
          <c:idx val="2"/>
          <c:order val="2"/>
          <c:tx>
            <c:v>USD_MM</c:v>
          </c:tx>
          <c:marker>
            <c:symbol val="none"/>
          </c:marker>
          <c:cat>
            <c:numRef>
              <c:f>Sensitivity!$A$4:$A$15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Sensitivity!$D$4:$D$15</c:f>
              <c:numCache>
                <c:formatCode>\$#,##0;[Red]\(\$#,##0\);\-</c:formatCode>
                <c:ptCount val="12"/>
                <c:pt idx="1">
                  <c:v>4893868.9956676792</c:v>
                </c:pt>
                <c:pt idx="2">
                  <c:v>4893868.9956676792</c:v>
                </c:pt>
                <c:pt idx="3">
                  <c:v>4893868.9956676792</c:v>
                </c:pt>
                <c:pt idx="4">
                  <c:v>4893868.9956676792</c:v>
                </c:pt>
                <c:pt idx="5">
                  <c:v>4893868.9956676792</c:v>
                </c:pt>
                <c:pt idx="6">
                  <c:v>4893868.9956676792</c:v>
                </c:pt>
                <c:pt idx="7">
                  <c:v>4893868.9956676792</c:v>
                </c:pt>
                <c:pt idx="8">
                  <c:v>4893868.9956676792</c:v>
                </c:pt>
                <c:pt idx="9">
                  <c:v>4893868.9956676792</c:v>
                </c:pt>
                <c:pt idx="10">
                  <c:v>4893868.9956676792</c:v>
                </c:pt>
                <c:pt idx="11">
                  <c:v>4893868.9956676792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88-4A58-A6DF-EC21C98CB338}"/>
            </c:ext>
          </c:extLst>
        </c:ser>
        <c:ser>
          <c:idx val="3"/>
          <c:order val="3"/>
          <c:tx>
            <c:v>USD_PUT</c:v>
          </c:tx>
          <c:marker>
            <c:symbol val="none"/>
          </c:marker>
          <c:cat>
            <c:numRef>
              <c:f>Sensitivity!$A$4:$A$15</c:f>
              <c:numCache>
                <c:formatCode>0.0000</c:formatCode>
                <c:ptCount val="12"/>
                <c:pt idx="1">
                  <c:v>1.0449999999999999</c:v>
                </c:pt>
                <c:pt idx="2">
                  <c:v>1.056</c:v>
                </c:pt>
                <c:pt idx="3">
                  <c:v>1.0669999999999999</c:v>
                </c:pt>
                <c:pt idx="4">
                  <c:v>1.0780000000000001</c:v>
                </c:pt>
                <c:pt idx="5">
                  <c:v>1.089</c:v>
                </c:pt>
                <c:pt idx="6">
                  <c:v>1.1000000000000001</c:v>
                </c:pt>
                <c:pt idx="7">
                  <c:v>1.1110000000000002</c:v>
                </c:pt>
                <c:pt idx="8">
                  <c:v>1.1220000000000001</c:v>
                </c:pt>
                <c:pt idx="9">
                  <c:v>1.1330000000000002</c:v>
                </c:pt>
                <c:pt idx="10">
                  <c:v>1.1440000000000001</c:v>
                </c:pt>
                <c:pt idx="11">
                  <c:v>1.1550000000000002</c:v>
                </c:pt>
              </c:numCache>
            </c:numRef>
          </c:cat>
          <c:val>
            <c:numRef>
              <c:f>Sensitivity!$E$4:$E$15</c:f>
              <c:numCache>
                <c:formatCode>\$#,##0;[Red]\(\$#,##0\);\-</c:formatCode>
                <c:ptCount val="12"/>
                <c:pt idx="1">
                  <c:v>4837500</c:v>
                </c:pt>
                <c:pt idx="2">
                  <c:v>4837500</c:v>
                </c:pt>
                <c:pt idx="3">
                  <c:v>4837500</c:v>
                </c:pt>
                <c:pt idx="4">
                  <c:v>4837500</c:v>
                </c:pt>
                <c:pt idx="5">
                  <c:v>4837500</c:v>
                </c:pt>
                <c:pt idx="6">
                  <c:v>4837500</c:v>
                </c:pt>
                <c:pt idx="7">
                  <c:v>4887000.0000000009</c:v>
                </c:pt>
                <c:pt idx="8">
                  <c:v>4936500.0000000009</c:v>
                </c:pt>
                <c:pt idx="9">
                  <c:v>4986000.0000000009</c:v>
                </c:pt>
                <c:pt idx="10">
                  <c:v>5035500.0000000009</c:v>
                </c:pt>
                <c:pt idx="11">
                  <c:v>5085000.0000000009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88-4A58-A6DF-EC21C98CB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B1" workbookViewId="0">
      <selection sqref="A1:H1"/>
    </sheetView>
  </sheetViews>
  <sheetFormatPr defaultRowHeight="13.5"/>
  <cols>
    <col min="1" max="4" width="22" customWidth="1"/>
    <col min="5" max="8" width="16" customWidth="1"/>
  </cols>
  <sheetData>
    <row r="1" spans="1:8" ht="28.05" customHeight="1">
      <c r="A1" s="40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40" t="s">
        <v>0</v>
      </c>
      <c r="G1" s="40" t="s">
        <v>0</v>
      </c>
      <c r="H1" s="40" t="s">
        <v>0</v>
      </c>
    </row>
    <row r="3" spans="1:8" ht="15">
      <c r="A3" s="41" t="s">
        <v>1</v>
      </c>
      <c r="B3" s="42"/>
      <c r="C3" s="42"/>
      <c r="D3" s="42"/>
      <c r="E3" s="42"/>
      <c r="F3" s="42"/>
      <c r="G3" s="42"/>
      <c r="H3" s="42"/>
    </row>
    <row r="5" spans="1:8" ht="13.9">
      <c r="A5" s="19" t="s">
        <v>2</v>
      </c>
      <c r="B5" s="20" t="s">
        <v>3</v>
      </c>
    </row>
    <row r="6" spans="1:8" ht="13.9">
      <c r="A6" s="19" t="s">
        <v>4</v>
      </c>
      <c r="B6" s="20" t="s">
        <v>5</v>
      </c>
    </row>
    <row r="7" spans="1:8" ht="13.9">
      <c r="A7" s="19" t="s">
        <v>6</v>
      </c>
      <c r="B7" s="20" t="s">
        <v>7</v>
      </c>
    </row>
    <row r="8" spans="1:8" ht="13.9">
      <c r="A8" s="19" t="s">
        <v>8</v>
      </c>
      <c r="B8" s="21">
        <f>F0_in</f>
        <v>1.0874999999999999</v>
      </c>
    </row>
    <row r="9" spans="1:8" ht="13.9">
      <c r="A9" s="19" t="s">
        <v>9</v>
      </c>
      <c r="B9" s="20" t="str">
        <f>Checks!F10</f>
        <v>OK</v>
      </c>
    </row>
    <row r="10" spans="1:8" ht="13.9">
      <c r="A10" s="19" t="s">
        <v>10</v>
      </c>
      <c r="B10" s="20" t="s">
        <v>11</v>
      </c>
    </row>
    <row r="12" spans="1:8" ht="13.9">
      <c r="A12" s="43" t="s">
        <v>12</v>
      </c>
      <c r="B12" s="44"/>
      <c r="C12" s="44"/>
      <c r="D12" s="44"/>
      <c r="E12" s="44"/>
      <c r="F12" s="44"/>
      <c r="G12" s="44"/>
      <c r="H12" s="45"/>
    </row>
    <row r="14" spans="1:8" ht="13.9">
      <c r="A14" s="1" t="s">
        <v>13</v>
      </c>
      <c r="B14" s="1" t="s">
        <v>14</v>
      </c>
      <c r="C14" s="1" t="s">
        <v>15</v>
      </c>
      <c r="D14" s="1" t="s">
        <v>16</v>
      </c>
    </row>
    <row r="15" spans="1:8" ht="13.9">
      <c r="A15" s="22">
        <f>Forward_Calc!B6</f>
        <v>4893750</v>
      </c>
      <c r="B15" s="23">
        <f>Money_Market_Calc!C6</f>
        <v>4893868.9956676792</v>
      </c>
      <c r="C15" s="23">
        <f>Option_Calc!B6</f>
        <v>4837500</v>
      </c>
      <c r="D15" s="24">
        <f>Option_Calc!B8</f>
        <v>4837500</v>
      </c>
    </row>
    <row r="17" spans="1:8">
      <c r="A17" s="46" t="s">
        <v>17</v>
      </c>
      <c r="B17" s="42"/>
      <c r="C17" s="42"/>
      <c r="D17" s="42"/>
      <c r="E17" s="42"/>
      <c r="F17" s="42"/>
      <c r="G17" s="42"/>
      <c r="H17" s="42"/>
    </row>
    <row r="18" spans="1:8">
      <c r="A18" s="42"/>
      <c r="B18" s="42"/>
      <c r="C18" s="42"/>
      <c r="D18" s="42"/>
      <c r="E18" s="42"/>
      <c r="F18" s="42"/>
      <c r="G18" s="42"/>
      <c r="H18" s="42"/>
    </row>
    <row r="19" spans="1:8">
      <c r="A19" s="42"/>
      <c r="B19" s="42"/>
      <c r="C19" s="42"/>
      <c r="D19" s="42"/>
      <c r="E19" s="42"/>
      <c r="F19" s="42"/>
      <c r="G19" s="42"/>
      <c r="H19" s="42"/>
    </row>
  </sheetData>
  <mergeCells count="4">
    <mergeCell ref="A1:H1"/>
    <mergeCell ref="A3:H3"/>
    <mergeCell ref="A12:H12"/>
    <mergeCell ref="A17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selection activeCell="B4" sqref="B4"/>
    </sheetView>
  </sheetViews>
  <sheetFormatPr defaultRowHeight="13.5"/>
  <cols>
    <col min="1" max="1" width="22" customWidth="1"/>
    <col min="2" max="2" width="24" customWidth="1"/>
    <col min="3" max="3" width="52" customWidth="1"/>
    <col min="4" max="5" width="12" customWidth="1"/>
  </cols>
  <sheetData>
    <row r="1" spans="1:5" ht="28.05" customHeight="1">
      <c r="A1" s="40" t="s">
        <v>18</v>
      </c>
      <c r="B1" s="40" t="s">
        <v>18</v>
      </c>
      <c r="C1" s="40" t="s">
        <v>18</v>
      </c>
      <c r="D1" s="40" t="s">
        <v>18</v>
      </c>
      <c r="E1" s="40" t="s">
        <v>18</v>
      </c>
    </row>
    <row r="3" spans="1:5" ht="13.9">
      <c r="A3" s="1" t="s">
        <v>19</v>
      </c>
      <c r="B3" s="1" t="s">
        <v>20</v>
      </c>
      <c r="C3" s="1" t="s">
        <v>21</v>
      </c>
    </row>
    <row r="4" spans="1:5">
      <c r="A4" s="20" t="s">
        <v>22</v>
      </c>
      <c r="B4" s="25" t="s">
        <v>23</v>
      </c>
      <c r="C4" s="20" t="s">
        <v>24</v>
      </c>
    </row>
    <row r="5" spans="1:5">
      <c r="A5" s="20" t="s">
        <v>25</v>
      </c>
      <c r="B5" s="26" t="s">
        <v>26</v>
      </c>
      <c r="C5" s="20" t="s">
        <v>27</v>
      </c>
    </row>
    <row r="6" spans="1:5">
      <c r="A6" s="20" t="s">
        <v>28</v>
      </c>
      <c r="B6" s="27" t="s">
        <v>29</v>
      </c>
      <c r="C6" s="20" t="s">
        <v>30</v>
      </c>
    </row>
    <row r="7" spans="1:5" ht="13.9">
      <c r="A7" s="20" t="s">
        <v>31</v>
      </c>
      <c r="B7" s="28" t="s">
        <v>32</v>
      </c>
      <c r="C7" s="20" t="s">
        <v>33</v>
      </c>
    </row>
    <row r="9" spans="1:5">
      <c r="A9" s="47" t="s">
        <v>34</v>
      </c>
      <c r="B9" s="42"/>
      <c r="C9" s="42"/>
      <c r="D9" s="42"/>
      <c r="E9" s="42"/>
    </row>
    <row r="10" spans="1:5">
      <c r="A10" s="42"/>
      <c r="B10" s="42"/>
      <c r="C10" s="42"/>
      <c r="D10" s="42"/>
      <c r="E10" s="42"/>
    </row>
    <row r="11" spans="1:5">
      <c r="A11" s="42"/>
      <c r="B11" s="42"/>
      <c r="C11" s="42"/>
      <c r="D11" s="42"/>
      <c r="E11" s="42"/>
    </row>
  </sheetData>
  <mergeCells count="2">
    <mergeCell ref="A1:E1"/>
    <mergeCell ref="A9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topLeftCell="C1" workbookViewId="0">
      <selection activeCell="B12" sqref="B12"/>
    </sheetView>
  </sheetViews>
  <sheetFormatPr defaultRowHeight="13.5"/>
  <cols>
    <col min="1" max="2" width="18" customWidth="1"/>
    <col min="3" max="3" width="20" customWidth="1"/>
    <col min="4" max="4" width="43" customWidth="1"/>
    <col min="5" max="5" width="14" customWidth="1"/>
    <col min="6" max="6" width="34" customWidth="1"/>
  </cols>
  <sheetData>
    <row r="1" spans="1:6" ht="28.05" customHeight="1">
      <c r="A1" s="40" t="s">
        <v>35</v>
      </c>
      <c r="B1" s="40" t="s">
        <v>35</v>
      </c>
      <c r="C1" s="40" t="s">
        <v>35</v>
      </c>
      <c r="D1" s="40" t="s">
        <v>35</v>
      </c>
      <c r="E1" s="40" t="s">
        <v>35</v>
      </c>
      <c r="F1" s="40" t="s">
        <v>35</v>
      </c>
    </row>
    <row r="3" spans="1:6" ht="27.7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ht="13.9">
      <c r="A4" s="8" t="s">
        <v>42</v>
      </c>
      <c r="B4" s="11">
        <v>4500000</v>
      </c>
      <c r="C4" s="2" t="s">
        <v>43</v>
      </c>
      <c r="D4" s="2" t="s">
        <v>44</v>
      </c>
      <c r="E4" s="15" t="s">
        <v>45</v>
      </c>
      <c r="F4" s="3" t="s">
        <v>46</v>
      </c>
    </row>
    <row r="5" spans="1:6" ht="13.9">
      <c r="A5" s="9" t="s">
        <v>47</v>
      </c>
      <c r="B5" s="12">
        <v>1.1000000000000001</v>
      </c>
      <c r="C5" s="4" t="s">
        <v>48</v>
      </c>
      <c r="D5" s="4" t="s">
        <v>49</v>
      </c>
      <c r="E5" s="16" t="s">
        <v>45</v>
      </c>
      <c r="F5" s="5" t="s">
        <v>50</v>
      </c>
    </row>
    <row r="6" spans="1:6" ht="13.9">
      <c r="A6" s="9" t="s">
        <v>51</v>
      </c>
      <c r="B6" s="12">
        <v>1.0874999999999999</v>
      </c>
      <c r="C6" s="4" t="s">
        <v>48</v>
      </c>
      <c r="D6" s="4" t="s">
        <v>52</v>
      </c>
      <c r="E6" s="16" t="s">
        <v>45</v>
      </c>
      <c r="F6" s="5" t="s">
        <v>53</v>
      </c>
    </row>
    <row r="7" spans="1:6" ht="13.9">
      <c r="A7" s="9" t="s">
        <v>54</v>
      </c>
      <c r="B7" s="12">
        <v>4.2500000000000003E-2</v>
      </c>
      <c r="C7" s="4" t="s">
        <v>55</v>
      </c>
      <c r="D7" s="4" t="s">
        <v>56</v>
      </c>
      <c r="E7" s="16" t="s">
        <v>45</v>
      </c>
      <c r="F7" s="5" t="s">
        <v>57</v>
      </c>
    </row>
    <row r="8" spans="1:6" ht="13.9">
      <c r="A8" s="9" t="s">
        <v>58</v>
      </c>
      <c r="B8" s="13">
        <v>5.4300000000000001E-2</v>
      </c>
      <c r="C8" s="4" t="s">
        <v>55</v>
      </c>
      <c r="D8" s="4" t="s">
        <v>59</v>
      </c>
      <c r="E8" s="16" t="s">
        <v>45</v>
      </c>
      <c r="F8" s="5" t="s">
        <v>60</v>
      </c>
    </row>
    <row r="9" spans="1:6" ht="13.9">
      <c r="A9" s="9" t="s">
        <v>61</v>
      </c>
      <c r="B9" s="13">
        <v>1.1000000000000001</v>
      </c>
      <c r="C9" s="4" t="s">
        <v>48</v>
      </c>
      <c r="D9" s="4" t="s">
        <v>62</v>
      </c>
      <c r="E9" s="16" t="s">
        <v>45</v>
      </c>
      <c r="F9" s="5" t="s">
        <v>63</v>
      </c>
    </row>
    <row r="10" spans="1:6" ht="13.9">
      <c r="A10" s="9" t="s">
        <v>64</v>
      </c>
      <c r="B10" s="12">
        <v>1.1000000000000001</v>
      </c>
      <c r="C10" s="4" t="s">
        <v>48</v>
      </c>
      <c r="D10" s="4" t="s">
        <v>62</v>
      </c>
      <c r="E10" s="16" t="s">
        <v>45</v>
      </c>
      <c r="F10" s="5" t="s">
        <v>65</v>
      </c>
    </row>
    <row r="11" spans="1:6" ht="13.9">
      <c r="A11" s="9" t="s">
        <v>66</v>
      </c>
      <c r="B11" s="12">
        <v>2.5000000000000001E-2</v>
      </c>
      <c r="C11" s="4" t="s">
        <v>48</v>
      </c>
      <c r="D11" s="4" t="s">
        <v>67</v>
      </c>
      <c r="E11" s="16" t="s">
        <v>45</v>
      </c>
      <c r="F11" s="5" t="s">
        <v>68</v>
      </c>
    </row>
    <row r="12" spans="1:6" ht="13.9">
      <c r="A12" s="9" t="s">
        <v>69</v>
      </c>
      <c r="B12" s="12">
        <v>2.5000000000000001E-2</v>
      </c>
      <c r="C12" s="4" t="s">
        <v>48</v>
      </c>
      <c r="D12" s="4" t="s">
        <v>70</v>
      </c>
      <c r="E12" s="16" t="s">
        <v>45</v>
      </c>
      <c r="F12" s="5" t="s">
        <v>65</v>
      </c>
    </row>
    <row r="13" spans="1:6" ht="13.9">
      <c r="A13" s="10" t="s">
        <v>71</v>
      </c>
      <c r="B13" s="14">
        <v>365</v>
      </c>
      <c r="C13" s="6" t="s">
        <v>72</v>
      </c>
      <c r="D13" s="6" t="s">
        <v>73</v>
      </c>
      <c r="E13" s="17" t="s">
        <v>45</v>
      </c>
      <c r="F13" s="7" t="s">
        <v>74</v>
      </c>
    </row>
    <row r="15" spans="1:6" ht="28.05" customHeight="1">
      <c r="A15" s="48" t="s">
        <v>75</v>
      </c>
      <c r="B15" s="42"/>
      <c r="C15" s="42"/>
      <c r="D15" s="42"/>
      <c r="E15" s="42"/>
      <c r="F15" s="42"/>
    </row>
    <row r="16" spans="1:6" ht="28.05" customHeight="1">
      <c r="A16" s="42"/>
      <c r="B16" s="42"/>
      <c r="C16" s="42"/>
      <c r="D16" s="42"/>
      <c r="E16" s="42"/>
      <c r="F16" s="42"/>
    </row>
  </sheetData>
  <mergeCells count="2">
    <mergeCell ref="A1:F1"/>
    <mergeCell ref="A15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>
      <selection sqref="A1:D1"/>
    </sheetView>
  </sheetViews>
  <sheetFormatPr defaultRowHeight="13.5"/>
  <cols>
    <col min="1" max="1" width="38" customWidth="1"/>
    <col min="2" max="2" width="20" customWidth="1"/>
    <col min="3" max="4" width="18" customWidth="1"/>
  </cols>
  <sheetData>
    <row r="1" spans="1:4" ht="28.05" customHeight="1">
      <c r="A1" s="40" t="s">
        <v>76</v>
      </c>
      <c r="B1" s="40" t="s">
        <v>76</v>
      </c>
      <c r="C1" s="40" t="s">
        <v>76</v>
      </c>
      <c r="D1" s="40" t="s">
        <v>76</v>
      </c>
    </row>
    <row r="3" spans="1:4" ht="13.9">
      <c r="A3" s="1" t="s">
        <v>77</v>
      </c>
      <c r="B3" s="1" t="s">
        <v>78</v>
      </c>
    </row>
    <row r="4" spans="1:4">
      <c r="A4" t="s">
        <v>79</v>
      </c>
      <c r="B4" s="29">
        <f>FC_AMT</f>
        <v>4500000</v>
      </c>
    </row>
    <row r="5" spans="1:4">
      <c r="A5" t="s">
        <v>80</v>
      </c>
      <c r="B5" s="18">
        <f>F0_in</f>
        <v>1.0874999999999999</v>
      </c>
    </row>
    <row r="6" spans="1:4" ht="13.9">
      <c r="A6" t="s">
        <v>81</v>
      </c>
      <c r="B6" s="30">
        <f>FC_AMT*F0_in</f>
        <v>4893750</v>
      </c>
    </row>
    <row r="8" spans="1:4">
      <c r="A8" s="49" t="s">
        <v>82</v>
      </c>
      <c r="B8" s="42"/>
      <c r="C8" s="42"/>
      <c r="D8" s="42"/>
    </row>
    <row r="9" spans="1:4">
      <c r="A9" s="42"/>
      <c r="B9" s="42"/>
      <c r="C9" s="42"/>
      <c r="D9" s="42"/>
    </row>
    <row r="10" spans="1:4">
      <c r="A10" s="42"/>
      <c r="B10" s="42"/>
      <c r="C10" s="42"/>
      <c r="D10" s="42"/>
    </row>
  </sheetData>
  <mergeCells count="2">
    <mergeCell ref="A1:D1"/>
    <mergeCell ref="A8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tabSelected="1" workbookViewId="0">
      <selection activeCell="C7" sqref="C7"/>
    </sheetView>
  </sheetViews>
  <sheetFormatPr defaultRowHeight="13.5"/>
  <cols>
    <col min="1" max="1" width="10" customWidth="1"/>
    <col min="2" max="2" width="58" customWidth="1"/>
    <col min="3" max="3" width="20" customWidth="1"/>
    <col min="4" max="5" width="16" customWidth="1"/>
  </cols>
  <sheetData>
    <row r="1" spans="1:5" ht="28.05" customHeight="1">
      <c r="A1" s="40" t="s">
        <v>83</v>
      </c>
      <c r="B1" s="40" t="s">
        <v>83</v>
      </c>
      <c r="C1" s="40" t="s">
        <v>83</v>
      </c>
      <c r="D1" s="40" t="s">
        <v>83</v>
      </c>
      <c r="E1" s="40" t="s">
        <v>83</v>
      </c>
    </row>
    <row r="3" spans="1:5" ht="13.9">
      <c r="A3" s="1" t="s">
        <v>84</v>
      </c>
      <c r="B3" s="1" t="s">
        <v>85</v>
      </c>
      <c r="C3" s="1" t="s">
        <v>86</v>
      </c>
    </row>
    <row r="4" spans="1:5">
      <c r="A4" t="s">
        <v>87</v>
      </c>
      <c r="B4" t="s">
        <v>88</v>
      </c>
      <c r="C4" s="29">
        <f>FC_AMT/(1+R_FC*T_DAYS/360)</f>
        <v>4265183.8570689503</v>
      </c>
    </row>
    <row r="5" spans="1:5">
      <c r="A5" t="s">
        <v>89</v>
      </c>
      <c r="B5" t="s">
        <v>90</v>
      </c>
      <c r="C5" s="31">
        <f>C4*S0_in</f>
        <v>4691702.2427758453</v>
      </c>
    </row>
    <row r="6" spans="1:5" ht="13.9">
      <c r="A6" t="s">
        <v>91</v>
      </c>
      <c r="B6" t="s">
        <v>92</v>
      </c>
      <c r="C6" s="30">
        <f>C5*(1+R_USD*T_DAYS/360)</f>
        <v>4893868.9956676792</v>
      </c>
    </row>
    <row r="8" spans="1:5">
      <c r="B8" t="s">
        <v>93</v>
      </c>
      <c r="C8" s="18">
        <f>S0_in*(1+R_USD*T_DAYS/360)/(1+R_FC*T_DAYS/360)</f>
        <v>1.0875264434817065</v>
      </c>
    </row>
    <row r="9" spans="1:5">
      <c r="B9" t="s">
        <v>94</v>
      </c>
      <c r="C9" s="18">
        <f>C8-F0_in</f>
        <v>2.6443481706550642E-5</v>
      </c>
    </row>
    <row r="10" spans="1:5">
      <c r="B10" t="s">
        <v>95</v>
      </c>
      <c r="C10" s="31">
        <f>C6-Forward_Calc!B6</f>
        <v>118.99566767923534</v>
      </c>
    </row>
    <row r="12" spans="1:5">
      <c r="A12" s="49" t="s">
        <v>96</v>
      </c>
      <c r="B12" s="42"/>
      <c r="C12" s="42"/>
      <c r="D12" s="42"/>
      <c r="E12" s="42"/>
    </row>
    <row r="13" spans="1:5">
      <c r="A13" s="42"/>
      <c r="B13" s="42"/>
      <c r="C13" s="42"/>
      <c r="D13" s="42"/>
      <c r="E13" s="42"/>
    </row>
    <row r="14" spans="1:5">
      <c r="A14" s="42"/>
      <c r="B14" s="42"/>
      <c r="C14" s="42"/>
      <c r="D14" s="42"/>
      <c r="E14" s="42"/>
    </row>
  </sheetData>
  <mergeCells count="2">
    <mergeCell ref="A1:E1"/>
    <mergeCell ref="A12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workbookViewId="0">
      <selection sqref="A1:D1"/>
    </sheetView>
  </sheetViews>
  <sheetFormatPr defaultRowHeight="13.5"/>
  <cols>
    <col min="1" max="1" width="38" customWidth="1"/>
    <col min="2" max="2" width="20" customWidth="1"/>
    <col min="3" max="4" width="18" customWidth="1"/>
  </cols>
  <sheetData>
    <row r="1" spans="1:4" ht="28.05" customHeight="1">
      <c r="A1" s="40" t="s">
        <v>97</v>
      </c>
      <c r="B1" s="40" t="s">
        <v>97</v>
      </c>
      <c r="C1" s="40" t="s">
        <v>97</v>
      </c>
      <c r="D1" s="40" t="s">
        <v>97</v>
      </c>
    </row>
    <row r="3" spans="1:4" ht="13.9">
      <c r="A3" s="1" t="s">
        <v>77</v>
      </c>
      <c r="B3" s="1" t="s">
        <v>86</v>
      </c>
    </row>
    <row r="4" spans="1:4">
      <c r="A4" t="s">
        <v>98</v>
      </c>
      <c r="B4" s="31">
        <f>FC_AMT*PREM_PUT</f>
        <v>112500</v>
      </c>
    </row>
    <row r="5" spans="1:4">
      <c r="A5" t="s">
        <v>99</v>
      </c>
      <c r="B5" s="18">
        <f>S0_in</f>
        <v>1.1000000000000001</v>
      </c>
    </row>
    <row r="6" spans="1:4" ht="13.9">
      <c r="A6" t="s">
        <v>100</v>
      </c>
      <c r="B6" s="30">
        <f>FC_AMT*MAX(S0_in,K_PUT)-FC_AMT*PREM_PUT</f>
        <v>4837500</v>
      </c>
    </row>
    <row r="7" spans="1:4">
      <c r="A7" t="s">
        <v>101</v>
      </c>
      <c r="B7" s="31">
        <f>MIN(Sensitivity!A5:A15)</f>
        <v>1.0449999999999999</v>
      </c>
    </row>
    <row r="8" spans="1:4" ht="13.9">
      <c r="A8" t="s">
        <v>102</v>
      </c>
      <c r="B8" s="30">
        <f>MIN(Sensitivity!E5:E15)</f>
        <v>4837500</v>
      </c>
    </row>
    <row r="9" spans="1:4">
      <c r="A9" t="s">
        <v>103</v>
      </c>
      <c r="B9" s="31">
        <f>MAX(B5,K_PUT)*FC_AMT-FC_AMT*PREM_PUT</f>
        <v>4837500</v>
      </c>
    </row>
    <row r="11" spans="1:4">
      <c r="A11" s="49" t="s">
        <v>104</v>
      </c>
      <c r="B11" s="42"/>
      <c r="C11" s="42"/>
      <c r="D11" s="42"/>
    </row>
    <row r="12" spans="1:4">
      <c r="A12" s="42"/>
      <c r="B12" s="42"/>
      <c r="C12" s="42"/>
      <c r="D12" s="42"/>
    </row>
    <row r="13" spans="1:4">
      <c r="A13" s="42"/>
      <c r="B13" s="42"/>
      <c r="C13" s="42"/>
      <c r="D13" s="42"/>
    </row>
  </sheetData>
  <mergeCells count="2">
    <mergeCell ref="A1:D1"/>
    <mergeCell ref="A11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showGridLines="0" workbookViewId="0">
      <selection sqref="A1:J1"/>
    </sheetView>
  </sheetViews>
  <sheetFormatPr defaultRowHeight="13.5"/>
  <cols>
    <col min="1" max="1" width="16" customWidth="1"/>
    <col min="2" max="5" width="18" customWidth="1"/>
    <col min="6" max="6" width="4" customWidth="1"/>
    <col min="7" max="10" width="16" customWidth="1"/>
  </cols>
  <sheetData>
    <row r="1" spans="1:10" ht="28.05" customHeight="1">
      <c r="A1" s="40" t="s">
        <v>105</v>
      </c>
      <c r="B1" s="40" t="s">
        <v>105</v>
      </c>
      <c r="C1" s="40" t="s">
        <v>105</v>
      </c>
      <c r="D1" s="40" t="s">
        <v>105</v>
      </c>
      <c r="E1" s="40" t="s">
        <v>105</v>
      </c>
      <c r="F1" s="40" t="s">
        <v>105</v>
      </c>
      <c r="G1" s="40" t="s">
        <v>105</v>
      </c>
      <c r="H1" s="40" t="s">
        <v>105</v>
      </c>
      <c r="I1" s="40" t="s">
        <v>105</v>
      </c>
      <c r="J1" s="40" t="s">
        <v>105</v>
      </c>
    </row>
    <row r="3" spans="1:10" ht="13.9">
      <c r="A3" s="32" t="s">
        <v>106</v>
      </c>
      <c r="B3" s="32" t="s">
        <v>107</v>
      </c>
      <c r="C3" s="32" t="s">
        <v>81</v>
      </c>
      <c r="D3" s="32" t="s">
        <v>108</v>
      </c>
      <c r="E3" s="32" t="s">
        <v>109</v>
      </c>
      <c r="G3" s="43" t="s">
        <v>110</v>
      </c>
      <c r="H3" s="44"/>
      <c r="I3" s="44"/>
      <c r="J3" s="45"/>
    </row>
    <row r="4" spans="1:10">
      <c r="A4" s="4"/>
      <c r="B4" s="4"/>
      <c r="C4" s="4"/>
      <c r="D4" s="4"/>
      <c r="E4" s="4"/>
      <c r="G4" s="46" t="s">
        <v>111</v>
      </c>
      <c r="H4" s="42"/>
      <c r="I4" s="42"/>
      <c r="J4" s="42"/>
    </row>
    <row r="5" spans="1:10">
      <c r="A5" s="33">
        <f>S0_in*(1+-5*1%)</f>
        <v>1.0449999999999999</v>
      </c>
      <c r="B5" s="34">
        <f t="shared" ref="B5:B15" si="0">A5*FC_AMT</f>
        <v>4702500</v>
      </c>
      <c r="C5" s="34">
        <f>Forward_Calc!B6</f>
        <v>4893750</v>
      </c>
      <c r="D5" s="34">
        <f>Money_Market_Calc!C6</f>
        <v>4893868.9956676792</v>
      </c>
      <c r="E5" s="34">
        <f t="shared" ref="E5:E15" si="1">FC_AMT*MAX(A5,K_PUT)-FC_AMT*PREM_PUT</f>
        <v>4837500</v>
      </c>
      <c r="G5" s="42"/>
      <c r="H5" s="42"/>
      <c r="I5" s="42"/>
      <c r="J5" s="42"/>
    </row>
    <row r="6" spans="1:10">
      <c r="A6" s="33">
        <f>S0_in*(1+-4*1%)</f>
        <v>1.056</v>
      </c>
      <c r="B6" s="34">
        <f t="shared" si="0"/>
        <v>4752000</v>
      </c>
      <c r="C6" s="34">
        <f>Forward_Calc!B6</f>
        <v>4893750</v>
      </c>
      <c r="D6" s="34">
        <f>Money_Market_Calc!C6</f>
        <v>4893868.9956676792</v>
      </c>
      <c r="E6" s="34">
        <f t="shared" si="1"/>
        <v>4837500</v>
      </c>
      <c r="G6" s="42"/>
      <c r="H6" s="42"/>
      <c r="I6" s="42"/>
      <c r="J6" s="42"/>
    </row>
    <row r="7" spans="1:10">
      <c r="A7" s="33">
        <f>S0_in*(1+-3*1%)</f>
        <v>1.0669999999999999</v>
      </c>
      <c r="B7" s="34">
        <f t="shared" si="0"/>
        <v>4801500</v>
      </c>
      <c r="C7" s="34">
        <f>Forward_Calc!B6</f>
        <v>4893750</v>
      </c>
      <c r="D7" s="34">
        <f>Money_Market_Calc!C6</f>
        <v>4893868.9956676792</v>
      </c>
      <c r="E7" s="34">
        <f t="shared" si="1"/>
        <v>4837500</v>
      </c>
      <c r="G7" s="42"/>
      <c r="H7" s="42"/>
      <c r="I7" s="42"/>
      <c r="J7" s="42"/>
    </row>
    <row r="8" spans="1:10">
      <c r="A8" s="33">
        <f>S0_in*(1+-2*1%)</f>
        <v>1.0780000000000001</v>
      </c>
      <c r="B8" s="34">
        <f t="shared" si="0"/>
        <v>4851000</v>
      </c>
      <c r="C8" s="34">
        <f>Forward_Calc!B6</f>
        <v>4893750</v>
      </c>
      <c r="D8" s="34">
        <f>Money_Market_Calc!C6</f>
        <v>4893868.9956676792</v>
      </c>
      <c r="E8" s="34">
        <f t="shared" si="1"/>
        <v>4837500</v>
      </c>
      <c r="G8" s="42"/>
      <c r="H8" s="42"/>
      <c r="I8" s="42"/>
      <c r="J8" s="42"/>
    </row>
    <row r="9" spans="1:10">
      <c r="A9" s="33">
        <f>S0_in*(1+-1*1%)</f>
        <v>1.089</v>
      </c>
      <c r="B9" s="34">
        <f t="shared" si="0"/>
        <v>4900500</v>
      </c>
      <c r="C9" s="34">
        <f>Forward_Calc!B6</f>
        <v>4893750</v>
      </c>
      <c r="D9" s="34">
        <f>Money_Market_Calc!C6</f>
        <v>4893868.9956676792</v>
      </c>
      <c r="E9" s="34">
        <f t="shared" si="1"/>
        <v>4837500</v>
      </c>
    </row>
    <row r="10" spans="1:10" ht="13.9">
      <c r="A10" s="35">
        <f>S0_in*(1+0*1%)</f>
        <v>1.1000000000000001</v>
      </c>
      <c r="B10" s="36">
        <f t="shared" si="0"/>
        <v>4950000</v>
      </c>
      <c r="C10" s="36">
        <f>Forward_Calc!B6</f>
        <v>4893750</v>
      </c>
      <c r="D10" s="36">
        <f>Money_Market_Calc!C6</f>
        <v>4893868.9956676792</v>
      </c>
      <c r="E10" s="36">
        <f t="shared" si="1"/>
        <v>4837500</v>
      </c>
    </row>
    <row r="11" spans="1:10">
      <c r="A11" s="33">
        <f>S0_in*(1+1*1%)</f>
        <v>1.1110000000000002</v>
      </c>
      <c r="B11" s="34">
        <f t="shared" si="0"/>
        <v>4999500.0000000009</v>
      </c>
      <c r="C11" s="34">
        <f>Forward_Calc!B6</f>
        <v>4893750</v>
      </c>
      <c r="D11" s="34">
        <f>Money_Market_Calc!C6</f>
        <v>4893868.9956676792</v>
      </c>
      <c r="E11" s="34">
        <f t="shared" si="1"/>
        <v>4887000.0000000009</v>
      </c>
    </row>
    <row r="12" spans="1:10">
      <c r="A12" s="33">
        <f>S0_in*(1+2*1%)</f>
        <v>1.1220000000000001</v>
      </c>
      <c r="B12" s="34">
        <f t="shared" si="0"/>
        <v>5049000.0000000009</v>
      </c>
      <c r="C12" s="34">
        <f>Forward_Calc!B6</f>
        <v>4893750</v>
      </c>
      <c r="D12" s="34">
        <f>Money_Market_Calc!C6</f>
        <v>4893868.9956676792</v>
      </c>
      <c r="E12" s="34">
        <f t="shared" si="1"/>
        <v>4936500.0000000009</v>
      </c>
    </row>
    <row r="13" spans="1:10">
      <c r="A13" s="33">
        <f>S0_in*(1+3*1%)</f>
        <v>1.1330000000000002</v>
      </c>
      <c r="B13" s="34">
        <f t="shared" si="0"/>
        <v>5098500.0000000009</v>
      </c>
      <c r="C13" s="34">
        <f>Forward_Calc!B6</f>
        <v>4893750</v>
      </c>
      <c r="D13" s="34">
        <f>Money_Market_Calc!C6</f>
        <v>4893868.9956676792</v>
      </c>
      <c r="E13" s="34">
        <f t="shared" si="1"/>
        <v>4986000.0000000009</v>
      </c>
    </row>
    <row r="14" spans="1:10">
      <c r="A14" s="33">
        <f>S0_in*(1+4*1%)</f>
        <v>1.1440000000000001</v>
      </c>
      <c r="B14" s="34">
        <f t="shared" si="0"/>
        <v>5148000.0000000009</v>
      </c>
      <c r="C14" s="34">
        <f>Forward_Calc!B6</f>
        <v>4893750</v>
      </c>
      <c r="D14" s="34">
        <f>Money_Market_Calc!C6</f>
        <v>4893868.9956676792</v>
      </c>
      <c r="E14" s="34">
        <f t="shared" si="1"/>
        <v>5035500.0000000009</v>
      </c>
    </row>
    <row r="15" spans="1:10">
      <c r="A15" s="33">
        <f>S0_in*(1+5*1%)</f>
        <v>1.1550000000000002</v>
      </c>
      <c r="B15" s="34">
        <f t="shared" si="0"/>
        <v>5197500.0000000009</v>
      </c>
      <c r="C15" s="34">
        <f>Forward_Calc!B6</f>
        <v>4893750</v>
      </c>
      <c r="D15" s="34">
        <f>Money_Market_Calc!C6</f>
        <v>4893868.9956676792</v>
      </c>
      <c r="E15" s="34">
        <f t="shared" si="1"/>
        <v>5085000.0000000009</v>
      </c>
    </row>
  </sheetData>
  <mergeCells count="3">
    <mergeCell ref="A1:J1"/>
    <mergeCell ref="G3:J3"/>
    <mergeCell ref="G4:J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showGridLines="0" workbookViewId="0"/>
  </sheetViews>
  <sheetFormatPr defaultRowHeight="13.5"/>
  <cols>
    <col min="1" max="1" width="34" customWidth="1"/>
    <col min="2" max="3" width="18" customWidth="1"/>
    <col min="4" max="4" width="16" customWidth="1"/>
    <col min="5" max="6" width="14" customWidth="1"/>
    <col min="7" max="7" width="24" customWidth="1"/>
  </cols>
  <sheetData>
    <row r="1" spans="1:7" ht="28.05" customHeight="1">
      <c r="A1" s="40" t="s">
        <v>112</v>
      </c>
      <c r="B1" s="40" t="s">
        <v>112</v>
      </c>
      <c r="C1" s="40" t="s">
        <v>112</v>
      </c>
      <c r="D1" s="40" t="s">
        <v>112</v>
      </c>
      <c r="E1" s="40" t="s">
        <v>112</v>
      </c>
      <c r="F1" s="40" t="s">
        <v>112</v>
      </c>
      <c r="G1" s="40" t="s">
        <v>112</v>
      </c>
    </row>
    <row r="3" spans="1:7" ht="13.9">
      <c r="A3" s="32" t="s">
        <v>113</v>
      </c>
      <c r="B3" s="32" t="s">
        <v>114</v>
      </c>
      <c r="C3" s="32" t="s">
        <v>115</v>
      </c>
      <c r="D3" s="32" t="s">
        <v>116</v>
      </c>
      <c r="E3" s="32" t="s">
        <v>117</v>
      </c>
      <c r="F3" s="32" t="s">
        <v>40</v>
      </c>
      <c r="G3" s="32" t="s">
        <v>41</v>
      </c>
    </row>
    <row r="4" spans="1:7">
      <c r="A4" s="4" t="s">
        <v>118</v>
      </c>
      <c r="B4" s="33">
        <f>Money_Market_Calc!C8</f>
        <v>1.0875264434817065</v>
      </c>
      <c r="C4" s="33">
        <f>F0_in</f>
        <v>1.0874999999999999</v>
      </c>
      <c r="D4" s="33">
        <f t="shared" ref="D4:D9" si="0">B4-C4</f>
        <v>2.6443481706550642E-5</v>
      </c>
      <c r="E4" s="33">
        <f>0.0001</f>
        <v>1E-4</v>
      </c>
      <c r="F4" s="4" t="str">
        <f>IF(ABS(D4)&lt;=E4,"OK","CHECK")</f>
        <v>OK</v>
      </c>
      <c r="G4" s="4" t="s">
        <v>119</v>
      </c>
    </row>
    <row r="5" spans="1:7">
      <c r="A5" s="4" t="s">
        <v>120</v>
      </c>
      <c r="B5" s="34">
        <f>Money_Market_Calc!C6</f>
        <v>4893868.9956676792</v>
      </c>
      <c r="C5" s="34">
        <f>Forward_Calc!B6</f>
        <v>4893750</v>
      </c>
      <c r="D5" s="34">
        <f t="shared" si="0"/>
        <v>118.99566767923534</v>
      </c>
      <c r="E5" s="34">
        <f>500</f>
        <v>500</v>
      </c>
      <c r="F5" s="4" t="str">
        <f>IF(ABS(D5)&lt;=E5,"OK","CHECK")</f>
        <v>OK</v>
      </c>
      <c r="G5" s="4" t="s">
        <v>121</v>
      </c>
    </row>
    <row r="6" spans="1:7">
      <c r="A6" s="4" t="s">
        <v>122</v>
      </c>
      <c r="B6" s="34">
        <f>Money_Market_Calc!C4*(1+R_FC*T_DAYS/360)</f>
        <v>4500000</v>
      </c>
      <c r="C6" s="34">
        <f>FC_AMT</f>
        <v>4500000</v>
      </c>
      <c r="D6" s="34">
        <f t="shared" si="0"/>
        <v>0</v>
      </c>
      <c r="E6" s="34">
        <f>0.01</f>
        <v>0.01</v>
      </c>
      <c r="F6" s="4" t="str">
        <f>IF(ABS(D6)&lt;=E6,"OK","CHECK")</f>
        <v>OK</v>
      </c>
      <c r="G6" s="4" t="s">
        <v>43</v>
      </c>
    </row>
    <row r="7" spans="1:7">
      <c r="A7" s="4" t="s">
        <v>123</v>
      </c>
      <c r="B7" s="34">
        <f>FC_AMT*MAX(K_PUT,K_PUT)-FC_AMT*PREM_PUT</f>
        <v>4837500</v>
      </c>
      <c r="C7" s="34">
        <f>FC_AMT*K_PUT-FC_AMT*PREM_PUT</f>
        <v>4837500</v>
      </c>
      <c r="D7" s="34">
        <f t="shared" si="0"/>
        <v>0</v>
      </c>
      <c r="E7" s="34">
        <f>0.01</f>
        <v>0.01</v>
      </c>
      <c r="F7" s="4" t="str">
        <f>IF(ABS(D7)&lt;=E7,"OK","CHECK")</f>
        <v>OK</v>
      </c>
      <c r="G7" s="4" t="s">
        <v>124</v>
      </c>
    </row>
    <row r="8" spans="1:7">
      <c r="A8" s="4" t="s">
        <v>125</v>
      </c>
      <c r="B8" s="37">
        <f>COUNT(Sensitivity!A5:A15)</f>
        <v>11</v>
      </c>
      <c r="C8" s="37">
        <f>11</f>
        <v>11</v>
      </c>
      <c r="D8" s="37">
        <f t="shared" si="0"/>
        <v>0</v>
      </c>
      <c r="E8" s="37">
        <f>0</f>
        <v>0</v>
      </c>
      <c r="F8" s="4" t="str">
        <f>IF(D8=0,"OK","CHECK")</f>
        <v>OK</v>
      </c>
      <c r="G8" s="4" t="s">
        <v>126</v>
      </c>
    </row>
    <row r="9" spans="1:7">
      <c r="A9" s="4" t="s">
        <v>127</v>
      </c>
      <c r="B9" s="37">
        <f>COUNTIF(Sensitivity!A5:A15,S0_in)</f>
        <v>1</v>
      </c>
      <c r="C9" s="37">
        <f>1</f>
        <v>1</v>
      </c>
      <c r="D9" s="37">
        <f t="shared" si="0"/>
        <v>0</v>
      </c>
      <c r="E9" s="37">
        <f>0</f>
        <v>0</v>
      </c>
      <c r="F9" s="4" t="str">
        <f>IF(D9=0,"OK","CHECK")</f>
        <v>OK</v>
      </c>
      <c r="G9" s="4" t="s">
        <v>128</v>
      </c>
    </row>
    <row r="10" spans="1:7" ht="13.9">
      <c r="A10" s="38" t="s">
        <v>129</v>
      </c>
      <c r="B10" s="38"/>
      <c r="C10" s="38"/>
      <c r="D10" s="38"/>
      <c r="E10" s="38"/>
      <c r="F10" s="38" t="str">
        <f>IF(COUNTIF(F4:F9,"OK")=6,"OK","CHECK")</f>
        <v>OK</v>
      </c>
      <c r="G10" s="4"/>
    </row>
  </sheetData>
  <mergeCells count="1">
    <mergeCell ref="A1:G1"/>
  </mergeCells>
  <conditionalFormatting sqref="F4:F10">
    <cfRule type="containsText" dxfId="1" priority="1" operator="containsText" text="OK"/>
    <cfRule type="containsText" dxfId="0" priority="2" operator="containsText" text="CHECK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showGridLines="0" workbookViewId="0"/>
  </sheetViews>
  <sheetFormatPr defaultRowHeight="13.5"/>
  <cols>
    <col min="1" max="1" width="24" customWidth="1"/>
    <col min="2" max="2" width="84" customWidth="1"/>
    <col min="3" max="6" width="12" customWidth="1"/>
  </cols>
  <sheetData>
    <row r="1" spans="1:6" ht="28.05" customHeight="1">
      <c r="A1" s="40" t="s">
        <v>130</v>
      </c>
      <c r="B1" s="40" t="s">
        <v>130</v>
      </c>
      <c r="C1" s="40" t="s">
        <v>130</v>
      </c>
      <c r="D1" s="40" t="s">
        <v>130</v>
      </c>
      <c r="E1" s="40" t="s">
        <v>130</v>
      </c>
      <c r="F1" s="40" t="s">
        <v>130</v>
      </c>
    </row>
    <row r="3" spans="1:6" ht="13.9">
      <c r="A3" s="1" t="s">
        <v>131</v>
      </c>
      <c r="B3" s="1" t="s">
        <v>132</v>
      </c>
    </row>
    <row r="4" spans="1:6" ht="13.9">
      <c r="A4" s="19" t="s">
        <v>133</v>
      </c>
      <c r="B4" s="39" t="s">
        <v>134</v>
      </c>
    </row>
    <row r="5" spans="1:6" ht="13.9">
      <c r="A5" s="19" t="s">
        <v>135</v>
      </c>
      <c r="B5" s="39" t="s">
        <v>136</v>
      </c>
    </row>
    <row r="6" spans="1:6" ht="13.9">
      <c r="A6" s="19" t="s">
        <v>137</v>
      </c>
      <c r="B6" s="39" t="s">
        <v>138</v>
      </c>
    </row>
    <row r="7" spans="1:6" ht="13.9">
      <c r="A7" s="19" t="s">
        <v>139</v>
      </c>
      <c r="B7" s="39" t="s">
        <v>140</v>
      </c>
    </row>
    <row r="8" spans="1:6" ht="13.9">
      <c r="A8" s="19" t="s">
        <v>141</v>
      </c>
      <c r="B8" s="39" t="s">
        <v>142</v>
      </c>
    </row>
    <row r="9" spans="1:6" ht="13.9">
      <c r="A9" s="19" t="s">
        <v>143</v>
      </c>
      <c r="B9" s="39" t="s">
        <v>144</v>
      </c>
    </row>
    <row r="10" spans="1:6" ht="13.9">
      <c r="A10" s="19" t="s">
        <v>145</v>
      </c>
      <c r="B10" s="39" t="s">
        <v>146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Cover</vt:lpstr>
      <vt:lpstr>Legend_Key</vt:lpstr>
      <vt:lpstr>Inputs</vt:lpstr>
      <vt:lpstr>Forward_Calc</vt:lpstr>
      <vt:lpstr>Money_Market_Calc</vt:lpstr>
      <vt:lpstr>Option_Calc</vt:lpstr>
      <vt:lpstr>Sensitivity</vt:lpstr>
      <vt:lpstr>Checks</vt:lpstr>
      <vt:lpstr>Notes_Assumptions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Achilles Del Rosario</cp:lastModifiedBy>
  <dcterms:modified xsi:type="dcterms:W3CDTF">2026-08-14T10:11:47Z</dcterms:modified>
</cp:coreProperties>
</file>