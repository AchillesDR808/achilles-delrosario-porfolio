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2a8d02e2dc4e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96f6945854554c46"/>
    <x:sheet xmlns:r="http://schemas.openxmlformats.org/officeDocument/2006/relationships" name="Legend_Key" sheetId="2" r:id="Rb8f9860bb6d04db4"/>
    <x:sheet xmlns:r="http://schemas.openxmlformats.org/officeDocument/2006/relationships" name="Inputs" sheetId="3" r:id="R5951475c2f3c47ee"/>
    <x:sheet xmlns:r="http://schemas.openxmlformats.org/officeDocument/2006/relationships" name="Forward_Calc" sheetId="4" r:id="Rb8ad364f54a246e9"/>
    <x:sheet xmlns:r="http://schemas.openxmlformats.org/officeDocument/2006/relationships" name="Money_Market_Calc" sheetId="5" r:id="R72c82f5aa73e4057"/>
    <x:sheet xmlns:r="http://schemas.openxmlformats.org/officeDocument/2006/relationships" name="Option_Calc" sheetId="6" r:id="Rf0d53653046640c2"/>
    <x:sheet xmlns:r="http://schemas.openxmlformats.org/officeDocument/2006/relationships" name="Call_Calc" sheetId="7" r:id="R48c50284d7a846b2"/>
    <x:sheet xmlns:r="http://schemas.openxmlformats.org/officeDocument/2006/relationships" name="Sensitivity" sheetId="8" r:id="R9a5379568ae64714"/>
    <x:sheet xmlns:r="http://schemas.openxmlformats.org/officeDocument/2006/relationships" name="Checks" sheetId="9" r:id="R6b86c4249fd54efe"/>
    <x:sheet xmlns:r="http://schemas.openxmlformats.org/officeDocument/2006/relationships" name="Notes_Assumptions" sheetId="10" r:id="Ree0d302467154d02"/>
    <x:sheet xmlns:r="http://schemas.openxmlformats.org/officeDocument/2006/relationships" name="Sources" sheetId="11" r:id="Rb3050158f55c47f9"/>
  </x:sheets>
  <x:definedNames>
    <x:definedName name="FC_AMT">'Inputs'!$B$4</x:definedName>
    <x:definedName name="S0_in">'Inputs'!$B$5</x:definedName>
    <x:definedName name="F0_in">'Inputs'!$B$6</x:definedName>
    <x:definedName name="R_USD">'Inputs'!$B$7</x:definedName>
    <x:definedName name="R_FC">'Inputs'!$B$8</x:definedName>
    <x:definedName name="K_PUT">'Inputs'!$B$9</x:definedName>
    <x:definedName name="K_CALL">'Inputs'!$B$10</x:definedName>
    <x:definedName name="PREM_PUT">'Inputs'!$B$11</x:definedName>
    <x:definedName name="PREM_CALL">'Inputs'!$B$12</x:definedName>
    <x:definedName name="T_DAYS">'Inputs'!$B$13</x:definedName>
    <x:definedName name="DAY_BASIS">'Inputs'!$B$14</x:definedName>
    <x:definedName name="STEP_PCT">'Inputs'!$B$15</x:definedName>
    <x:definedName name="GRID_HALF_STEPS">'Inputs'!$B$16</x:definedName>
    <x:definedName name="PARITY_TOL">'Inputs'!$B$17</x:definedName>
    <x:definedName name="USD_TOL">'Inputs'!$B$18</x:definedName>
    <x:definedName name="AMT_TOL">'Inputs'!$B$19</x:definedName>
    <x:definedName name="CENTER_ROW_NUM">'Inputs'!$B$20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;[Red]($#,##0);-"/>
    <x:numFmt numFmtId="201" formatCode="0.0000"/>
    <x:numFmt numFmtId="202" formatCode="0.00%"/>
    <x:numFmt numFmtId="203" formatCode="#,##0"/>
    <x:numFmt numFmtId="204" formatCode="0"/>
  </x:numFmts>
  <x:fonts count="1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00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sz val="11"/>
      <x:color rgb="FF7F6000"/>
      <x:name val="Carlito"/>
    </x:font>
    <x:font>
      <x:i/>
      <x:sz val="11"/>
      <x:color rgb="FF024731"/>
      <x:name val="Carlito"/>
    </x:font>
    <x:font>
      <x:b/>
      <x:sz val="12"/>
      <x:color rgb="FF024731"/>
      <x:name val="Carlito"/>
    </x:font>
    <x:font>
      <x:b/>
      <x:sz val="11"/>
      <x:color rgb="FF024731"/>
      <x:name val="Carlito"/>
    </x:font>
    <x:font>
      <x:sz val="11"/>
      <x:color rgb="FF008000"/>
      <x:name val="Carlito"/>
    </x:font>
    <x:font>
      <x:b/>
      <x:sz val="11"/>
      <x:name val="Carlito"/>
    </x:font>
    <x:font>
      <x:b/>
      <x:sz val="11"/>
      <x:color rgb="FF00800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24731"/>
      </x:patternFill>
    </x:fill>
    <x:fill>
      <x:patternFill patternType="solid">
        <x:fgColor rgb="FFFFFF00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E6F2EF"/>
      </x:patternFill>
    </x:fill>
    <x:fill>
      <x:patternFill patternType="solid">
        <x:fgColor rgb="FFD9E1F2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bottom style="thin">
        <x:color rgb="FFD9D9D9"/>
      </x:bottom>
    </x:border>
    <x:border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top style="thin">
        <x:color rgb="FFD9D9D9"/>
      </x:top>
      <x:bottom style="thin">
        <x:color rgb="FFD9D9D9"/>
      </x:bottom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</x:border>
    <x:border>
      <x:left style="thin">
        <x:color rgb="FFD9D9D9"/>
      </x:left>
      <x:top style="thin">
        <x:color rgb="FFD9D9D9"/>
      </x:top>
    </x:border>
    <x:border>
      <x:left style="thin">
        <x:color rgb="FFB2B2B2"/>
      </x:left>
      <x:top style="thin">
        <x:color rgb="FFB2B2B2"/>
      </x:top>
      <x:bottom style="thin">
        <x:color rgb="FFB2B2B2"/>
      </x:bottom>
    </x:border>
    <x:border>
      <x:top style="thin">
        <x:color rgb="FFB2B2B2"/>
      </x:top>
      <x:bottom style="thin">
        <x:color rgb="FFB2B2B2"/>
      </x:bottom>
    </x:border>
    <x:border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left style="medium">
        <x:color rgb="FF024731"/>
      </x:left>
      <x:top style="medium">
        <x:color rgb="FF024731"/>
      </x:top>
      <x:bottom style="medium">
        <x:color rgb="FF024731"/>
      </x:bottom>
    </x:border>
    <x:border>
      <x:top style="medium">
        <x:color rgb="FF024731"/>
      </x:top>
      <x:bottom style="medium">
        <x:color rgb="FF024731"/>
      </x:bottom>
    </x:border>
    <x:border>
      <x:right style="medium">
        <x:color rgb="FF024731"/>
      </x:right>
      <x:top style="medium">
        <x:color rgb="FF024731"/>
      </x:top>
      <x:bottom style="medium">
        <x:color rgb="FF024731"/>
      </x:bottom>
    </x:border>
  </x:borders>
  <x:cellStyleXfs count="1">
    <x:xf numFmtId="0" fontId="0" fillId="0" borderId="0"/>
  </x:cellStyleXfs>
  <x:cellXfs count="1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right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right"/>
    </x:xf>
    <x:xf numFmtId="0" fontId="0" fillId="0" borderId="2" xfId="0" applyNumberFormat="1" applyFont="1" applyFill="1" applyBorder="1"/>
    <x:xf numFmtId="0" fontId="3" fillId="3" borderId="3" xfId="0" applyNumberFormat="1" applyFont="1" applyFill="1" applyBorder="1" applyAlignment="1">
      <x:alignment horizontal="right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3" fillId="3" borderId="6" xfId="0" applyNumberFormat="1" applyFont="1" applyFill="1" applyBorder="1" applyAlignment="1">
      <x:alignment horizontal="right"/>
    </x:xf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4" fillId="4" borderId="6" xfId="0" applyNumberFormat="1" applyFont="1" applyFill="1" applyBorder="1" applyAlignment="1">
      <x:alignment horizontal="right"/>
    </x:xf>
    <x:xf numFmtId="0" fontId="0" fillId="0" borderId="8" xfId="0" applyNumberFormat="1" applyFont="1" applyFill="1" applyBorder="1"/>
    <x:xf numFmtId="0" fontId="4" fillId="4" borderId="9" xfId="0" applyNumberFormat="1" applyFont="1" applyFill="1" applyBorder="1" applyAlignment="1">
      <x:alignment horizontal="right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5" fillId="0" borderId="2" xfId="0" applyNumberFormat="1" applyFont="1" applyFill="1" applyBorder="1"/>
    <x:xf numFmtId="0" fontId="5" fillId="0" borderId="5" xfId="0" applyNumberFormat="1" applyFont="1" applyFill="1" applyBorder="1"/>
    <x:xf numFmtId="0" fontId="5" fillId="0" borderId="8" xfId="0" applyNumberFormat="1" applyFont="1" applyFill="1" applyBorder="1"/>
    <x:xf numFmtId="200" fontId="3" fillId="3" borderId="3" xfId="0" applyNumberFormat="1" applyFont="1" applyFill="1" applyBorder="1" applyAlignment="1">
      <x:alignment horizontal="right"/>
    </x:xf>
    <x:xf numFmtId="201" fontId="3" fillId="3" borderId="6" xfId="0" applyNumberFormat="1" applyFont="1" applyFill="1" applyBorder="1" applyAlignment="1">
      <x:alignment horizontal="right"/>
    </x:xf>
    <x:xf numFmtId="202" fontId="3" fillId="3" borderId="6" xfId="0" applyNumberFormat="1" applyFont="1" applyFill="1" applyBorder="1" applyAlignment="1">
      <x:alignment horizontal="right"/>
    </x:xf>
    <x:xf numFmtId="203" fontId="3" fillId="3" borderId="6" xfId="0" applyNumberFormat="1" applyFont="1" applyFill="1" applyBorder="1" applyAlignment="1">
      <x:alignment horizontal="right"/>
    </x:xf>
    <x:xf numFmtId="203" fontId="4" fillId="4" borderId="6" xfId="0" applyNumberFormat="1" applyFont="1" applyFill="1" applyBorder="1" applyAlignment="1">
      <x:alignment horizontal="right"/>
    </x:xf>
    <x:xf numFmtId="202" fontId="4" fillId="4" borderId="6" xfId="0" applyNumberFormat="1" applyFont="1" applyFill="1" applyBorder="1" applyAlignment="1">
      <x:alignment horizontal="right"/>
    </x:xf>
    <x:xf numFmtId="201" fontId="4" fillId="4" borderId="6" xfId="0" applyNumberFormat="1" applyFont="1" applyFill="1" applyBorder="1" applyAlignment="1">
      <x:alignment horizontal="right"/>
    </x:xf>
    <x:xf numFmtId="200" fontId="4" fillId="4" borderId="6" xfId="0" applyNumberFormat="1" applyFont="1" applyFill="1" applyBorder="1" applyAlignment="1">
      <x:alignment horizontal="right"/>
    </x:xf>
    <x:xf numFmtId="203" fontId="4" fillId="4" borderId="9" xfId="0" applyNumberFormat="1" applyFont="1" applyFill="1" applyBorder="1" applyAlignment="1">
      <x:alignment horizontal="right"/>
    </x:xf>
    <x:xf numFmtId="0" fontId="0" fillId="5" borderId="3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6" fillId="5" borderId="3" xfId="0" applyNumberFormat="1" applyFont="1" applyFill="1" applyBorder="1"/>
    <x:xf numFmtId="0" fontId="6" fillId="5" borderId="6" xfId="0" applyNumberFormat="1" applyFont="1" applyFill="1" applyBorder="1"/>
    <x:xf numFmtId="0" fontId="6" fillId="5" borderId="9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6" fillId="5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horizontal="left"/>
    </x:xf>
    <x:xf numFmtId="201" fontId="0" fillId="0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1" xfId="0" applyNumberFormat="1" applyFont="1" applyFill="1" applyBorder="1"/>
    <x:xf numFmtId="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9" fillId="6" borderId="11" xfId="0" applyNumberFormat="1" applyFont="1" applyFill="1" applyBorder="1"/>
    <x:xf numFmtId="0" fontId="9" fillId="6" borderId="12" xfId="0" applyNumberFormat="1" applyFont="1" applyFill="1" applyBorder="1"/>
    <x:xf numFmtId="0" fontId="9" fillId="6" borderId="13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1" xfId="0" applyNumberFormat="1" applyFont="1" applyFill="1" applyBorder="1"/>
    <x:xf numFmtId="0" fontId="5" fillId="7" borderId="12" xfId="0" applyNumberFormat="1" applyFont="1" applyFill="1" applyBorder="1"/>
    <x:xf numFmtId="0" fontId="5" fillId="7" borderId="13" xfId="0" applyNumberFormat="1" applyFont="1" applyFill="1" applyBorder="1"/>
    <x:xf numFmtId="200" fontId="5" fillId="7" borderId="11" xfId="0" applyNumberFormat="1" applyFont="1" applyFill="1" applyBorder="1"/>
    <x:xf numFmtId="200" fontId="5" fillId="7" borderId="12" xfId="0" applyNumberFormat="1" applyFont="1" applyFill="1" applyBorder="1"/>
    <x:xf numFmtId="200" fontId="5" fillId="7" borderId="13" xfId="0" applyNumberFormat="1" applyFont="1" applyFill="1" applyBorder="1"/>
    <x:xf numFmtId="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3" fillId="3" borderId="1" xfId="0" applyNumberFormat="1" applyFont="1" applyFill="1" applyBorder="1"/>
    <x:xf numFmtId="0" fontId="4" fillId="4" borderId="1" xfId="0" applyNumberFormat="1" applyFont="1" applyFill="1" applyBorder="1"/>
    <x:xf numFmtId="0" fontId="10" fillId="0" borderId="1" xfId="0" applyNumberFormat="1" applyFont="1" applyFill="1" applyBorder="1"/>
    <x:xf numFmtId="0" fontId="5" fillId="7" borderId="1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200" fontId="5" fillId="7" borderId="1" xfId="0" applyNumberFormat="1" applyFont="1" applyFill="1" applyBorder="1"/>
    <x:xf numFmtId="200" fontId="0" fillId="0" borderId="0" xfId="0" applyNumberFormat="1" applyFont="1" applyFill="1" applyBorder="1"/>
    <x:xf numFmtId="200" fontId="0" fillId="7" borderId="0" xfId="0" applyNumberFormat="1" applyFont="1" applyFill="1" applyBorder="1"/>
    <x:xf numFmtId="200" fontId="5" fillId="7" borderId="0" xfId="0" applyNumberFormat="1" applyFont="1" applyFill="1" applyBorder="1"/>
    <x:xf numFmtId="201" fontId="0" fillId="7" borderId="0" xfId="0" applyNumberFormat="1" applyFont="1" applyFill="1" applyBorder="1"/>
    <x:xf numFmtId="201" fontId="5" fillId="7" borderId="0" xfId="0" applyNumberFormat="1" applyFont="1" applyFill="1" applyBorder="1"/>
    <x:xf numFmtId="201" fontId="5" fillId="7" borderId="1" xfId="0" applyNumberFormat="1" applyFont="1" applyFill="1" applyBorder="1"/>
    <x:xf numFmtId="204" fontId="0" fillId="0" borderId="0" xfId="0" applyNumberFormat="1" applyFont="1" applyFill="1" applyBorder="1"/>
    <x:xf numFmtId="0" fontId="2" fillId="2" borderId="6" xfId="0" applyNumberFormat="1" applyFont="1" applyFill="1" applyBorder="1" applyAlignment="1">
      <x:alignment horizontal="center" vertical="center" wrapText="1"/>
    </x:xf>
    <x:xf numFmtId="204" fontId="0" fillId="0" borderId="6" xfId="0" applyNumberFormat="1" applyFont="1" applyFill="1" applyBorder="1"/>
    <x:xf numFmtId="201" fontId="0" fillId="0" borderId="6" xfId="0" applyNumberFormat="1" applyFont="1" applyFill="1" applyBorder="1"/>
    <x:xf numFmtId="200" fontId="0" fillId="0" borderId="6" xfId="0" applyNumberFormat="1" applyFont="1" applyFill="1" applyBorder="1"/>
    <x:xf numFmtId="204" fontId="0" fillId="6" borderId="6" xfId="0" applyNumberFormat="1" applyFont="1" applyFill="1" applyBorder="1"/>
    <x:xf numFmtId="201" fontId="0" fillId="6" borderId="6" xfId="0" applyNumberFormat="1" applyFont="1" applyFill="1" applyBorder="1"/>
    <x:xf numFmtId="200" fontId="0" fillId="6" borderId="6" xfId="0" applyNumberFormat="1" applyFont="1" applyFill="1" applyBorder="1"/>
    <x:xf numFmtId="204" fontId="11" fillId="6" borderId="6" xfId="0" applyNumberFormat="1" applyFont="1" applyFill="1" applyBorder="1"/>
    <x:xf numFmtId="201" fontId="11" fillId="6" borderId="6" xfId="0" applyNumberFormat="1" applyFont="1" applyFill="1" applyBorder="1"/>
    <x:xf numFmtId="200" fontId="11" fillId="6" borderId="6" xfId="0" applyNumberFormat="1" applyFont="1" applyFill="1" applyBorder="1"/>
    <x:xf numFmtId="0" fontId="9" fillId="6" borderId="14" xfId="0" applyNumberFormat="1" applyFont="1" applyFill="1" applyBorder="1"/>
    <x:xf numFmtId="0" fontId="9" fillId="6" borderId="15" xfId="0" applyNumberFormat="1" applyFont="1" applyFill="1" applyBorder="1"/>
    <x:xf numFmtId="0" fontId="9" fillId="6" borderId="16" xfId="0" applyNumberFormat="1" applyFont="1" applyFill="1" applyBorder="1"/>
    <x:xf numFmtId="203" fontId="0" fillId="0" borderId="6" xfId="0" applyNumberFormat="1" applyFont="1" applyFill="1" applyBorder="1"/>
    <x:xf numFmtId="0" fontId="9" fillId="6" borderId="6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5" fillId="0" borderId="6" xfId="0" applyNumberFormat="1" applyFont="1" applyFill="1" applyBorder="1"/>
    <x:xf numFmtId="202" fontId="0" fillId="0" borderId="6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201" fontId="10" fillId="0" borderId="1" xfId="0" applyNumberFormat="1" applyFont="1" applyFill="1" applyBorder="1"/>
    <x:xf numFmtId="203" fontId="10" fillId="0" borderId="0" xfId="0" applyNumberFormat="1" applyFont="1" applyFill="1" applyBorder="1"/>
    <x:xf numFmtId="201" fontId="10" fillId="0" borderId="0" xfId="0" applyNumberFormat="1" applyFont="1" applyFill="1" applyBorder="1"/>
    <x:xf numFmtId="200" fontId="10" fillId="0" borderId="0" xfId="0" applyNumberFormat="1" applyFont="1" applyFill="1" applyBorder="1"/>
    <x:xf numFmtId="204" fontId="10" fillId="0" borderId="6" xfId="0" applyNumberFormat="1" applyFont="1" applyFill="1" applyBorder="1"/>
    <x:xf numFmtId="201" fontId="10" fillId="0" borderId="6" xfId="0" applyNumberFormat="1" applyFont="1" applyFill="1" applyBorder="1"/>
    <x:xf numFmtId="200" fontId="10" fillId="0" borderId="6" xfId="0" applyNumberFormat="1" applyFont="1" applyFill="1" applyBorder="1"/>
    <x:xf numFmtId="204" fontId="12" fillId="6" borderId="6" xfId="0" applyNumberFormat="1" applyFont="1" applyFill="1" applyBorder="1"/>
    <x:xf numFmtId="201" fontId="12" fillId="6" borderId="6" xfId="0" applyNumberFormat="1" applyFont="1" applyFill="1" applyBorder="1"/>
    <x:xf numFmtId="200" fontId="12" fillId="6" borderId="6" xfId="0" applyNumberFormat="1" applyFont="1" applyFill="1" applyBorder="1"/>
    <x:xf numFmtId="0" fontId="10" fillId="0" borderId="6" xfId="0" applyNumberFormat="1" applyFont="1" applyFill="1" applyBorder="1"/>
    <x:xf numFmtId="203" fontId="10" fillId="0" borderId="6" xfId="0" applyNumberFormat="1" applyFont="1" applyFill="1" applyBorder="1"/>
    <x:xf numFmtId="0" fontId="12" fillId="6" borderId="6" xfId="0" applyNumberFormat="1" applyFont="1" applyFill="1" applyBorder="1"/>
  </x:cellXfs>
  <x:cellStyles count="1">
    <x:cellStyle name="Normal" xfId="0"/>
  </x:cellStyles>
  <x:dxfs count="2"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844c30f4804359" /><Relationship Type="http://schemas.openxmlformats.org/officeDocument/2006/relationships/theme" Target="/xl/theme/theme1.xml" Id="Rf15091ad40ed4bbd" /><Relationship Type="http://schemas.openxmlformats.org/officeDocument/2006/relationships/sharedStrings" Target="/xl/sharedStrings.xml" Id="R364ef96819f64dab" /><Relationship Type="http://schemas.openxmlformats.org/officeDocument/2006/relationships/worksheet" Target="/xl/worksheets/sheet1.xml" Id="R96f6945854554c46" /><Relationship Type="http://schemas.openxmlformats.org/officeDocument/2006/relationships/worksheet" Target="/xl/worksheets/sheet2.xml" Id="Rb8f9860bb6d04db4" /><Relationship Type="http://schemas.openxmlformats.org/officeDocument/2006/relationships/worksheet" Target="/xl/worksheets/sheet3.xml" Id="R5951475c2f3c47ee" /><Relationship Type="http://schemas.openxmlformats.org/officeDocument/2006/relationships/worksheet" Target="/xl/worksheets/sheet4.xml" Id="Rb8ad364f54a246e9" /><Relationship Type="http://schemas.openxmlformats.org/officeDocument/2006/relationships/worksheet" Target="/xl/worksheets/sheet5.xml" Id="R72c82f5aa73e4057" /><Relationship Type="http://schemas.openxmlformats.org/officeDocument/2006/relationships/worksheet" Target="/xl/worksheets/sheet6.xml" Id="Rf0d53653046640c2" /><Relationship Type="http://schemas.openxmlformats.org/officeDocument/2006/relationships/worksheet" Target="/xl/worksheets/sheet7.xml" Id="R48c50284d7a846b2" /><Relationship Type="http://schemas.openxmlformats.org/officeDocument/2006/relationships/worksheet" Target="/xl/worksheets/sheet8.xml" Id="R9a5379568ae64714" /><Relationship Type="http://schemas.openxmlformats.org/officeDocument/2006/relationships/worksheet" Target="/xl/worksheets/sheet9.xml" Id="R6b86c4249fd54efe" /><Relationship Type="http://schemas.openxmlformats.org/officeDocument/2006/relationships/worksheet" Target="/xl/worksheets/sheet10.xml" Id="Ree0d302467154d02" /><Relationship Type="http://schemas.openxmlformats.org/officeDocument/2006/relationships/worksheet" Target="/xl/worksheets/sheet11.xml" Id="Rb3050158f55c47f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ce736a0aedb4f8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USD Proceeds by Settlement EURUSD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USD_NO_HEDGE</c:v>
          </c:tx>
          <c:marker>
            <c:symbol val="none"/>
          </c:marker>
          <c:cat>
            <c:strRef>
              <c:f>'Sensitivity'!$B$4:$B$15</c:f>
              <c:strCache>
                <c:ptCount val="0"/>
              </c:strCache>
            </c:strRef>
          </c:cat>
          <c:val>
            <c:numRef>
              <c:f>'Sensitivity'!$C$4:$C$15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USD_FWD</c:v>
          </c:tx>
          <c:marker>
            <c:symbol val="none"/>
          </c:marker>
          <c:cat>
            <c:strRef>
              <c:f>'Sensitivity'!$B$4:$B$15</c:f>
              <c:strCache>
                <c:ptCount val="0"/>
              </c:strCache>
            </c:strRef>
          </c:cat>
          <c:val>
            <c:numRef>
              <c:f>'Sensitivity'!$D$4:$D$15</c:f>
              <c:numCache>
                <c:formatCode>$#,##0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USD_MM</c:v>
          </c:tx>
          <c:marker>
            <c:symbol val="none"/>
          </c:marker>
          <c:cat>
            <c:strRef>
              <c:f>'Sensitivity'!$B$4:$B$15</c:f>
              <c:strCache>
                <c:ptCount val="0"/>
              </c:strCache>
            </c:strRef>
          </c:cat>
          <c:val>
            <c:numRef>
              <c:f>'Sensitivity'!$E$4:$E$15</c:f>
              <c:numCache>
                <c:formatCode>$#,##0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USD_PUT</c:v>
          </c:tx>
          <c:marker>
            <c:symbol val="none"/>
          </c:marker>
          <c:cat>
            <c:strRef>
              <c:f>'Sensitivity'!$B$4:$B$15</c:f>
              <c:strCache>
                <c:ptCount val="0"/>
              </c:strCache>
            </c:strRef>
          </c:cat>
          <c:val>
            <c:numRef>
              <c:f>'Sensitivity'!$F$4:$F$15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9</xdr:row>
      <xdr:rowOff>0</xdr:rowOff>
    </xdr:from>
    <xdr:to>
      <xdr:col>17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e736a0aedb4f8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175d436063224f8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8" customHeight="1">
      <x:c r="A1" s="4" t="str">
        <x:v>FX Transaction Hedge Model</x:v>
      </x:c>
      <x:c r="B1" s="4" t="str">
        <x:v>FX Transaction Hedge Model</x:v>
      </x:c>
      <x:c r="C1" s="4" t="str">
        <x:v>FX Transaction Hedge Model</x:v>
      </x:c>
      <x:c r="D1" s="4" t="str">
        <x:v>FX Transaction Hedge Model</x:v>
      </x:c>
      <x:c r="E1" s="4" t="str">
        <x:v>FX Transaction Hedge Model</x:v>
      </x:c>
      <x:c r="F1" s="4" t="str">
        <x:v>FX Transaction Hedge Model</x:v>
      </x:c>
      <x:c r="G1" s="4" t="str">
        <x:v>FX Transaction Hedge Model</x:v>
      </x:c>
      <x:c r="H1" s="4" t="str">
        <x:v>FX Transaction Hedge Model</x:v>
      </x:c>
    </x:row>
    <x:row r="3">
      <x:c r="A3" s="60" t="str">
        <x:v>Stage 4 - Scenario 1: U.S. Solar Equipment Importer | EUR 4,500,000 Receivable</x:v>
      </x:c>
    </x:row>
    <x:row r="5">
      <x:c r="A5" s="63" t="str">
        <x:v>Prepared by</x:v>
      </x:c>
      <x:c r="B5" s="64" t="str">
        <x:v>Achilles Del Rosario</x:v>
      </x:c>
    </x:row>
    <x:row r="6">
      <x:c r="A6" s="63" t="str">
        <x:v>Build date</x:v>
      </x:c>
      <x:c r="B6" s="64" t="str">
        <x:v>2026-08-14</x:v>
      </x:c>
    </x:row>
    <x:row r="7">
      <x:c r="A7" s="63" t="str">
        <x:v>Settlement date</x:v>
      </x:c>
      <x:c r="B7" s="64" t="str">
        <x:v>2027-08-14</x:v>
      </x:c>
    </x:row>
    <x:row r="8">
      <x:c r="A8" s="63" t="str">
        <x:v>Rate convention</x:v>
      </x:c>
      <x:c r="B8" s="64" t="str">
        <x:v>USD per EUR; ACT/360 simple interest</x:v>
      </x:c>
    </x:row>
    <x:row r="9">
      <x:c r="A9" s="63" t="str">
        <x:v>CIP-implied forward</x:v>
      </x:c>
      <x:c r="B9" s="115" t="n">
        <x:f>F0_in</x:f>
        <x:v>1.1733084755168277</x:v>
      </x:c>
    </x:row>
    <x:row r="10">
      <x:c r="A10" s="63" t="str">
        <x:v>Model status</x:v>
      </x:c>
      <x:c r="B10" s="83" t="str">
        <x:f>'Checks'!F11</x:f>
        <x:v>OK</x:v>
      </x:c>
    </x:row>
    <x:row r="11">
      <x:c r="A11" s="63" t="str">
        <x:v>Purpose</x:v>
      </x:c>
      <x:c r="B11" s="64" t="str">
        <x:v>Compare USD proceeds and option outcomes from forward, money-market, put, and call hedges</x:v>
      </x:c>
    </x:row>
    <x:row r="12">
      <x:c r="A12" s="66" t="str">
        <x:v>Formula-Driven Summary (Settlement-Date USD Proceeds)</x:v>
      </x:c>
      <x:c r="B12" s="67"/>
      <x:c r="C12" s="67"/>
      <x:c r="D12" s="67"/>
      <x:c r="E12" s="67"/>
      <x:c r="F12" s="67"/>
      <x:c r="G12" s="67"/>
      <x:c r="H12" s="68"/>
    </x:row>
    <x:row r="14">
      <x:c r="A14" s="9" t="str">
        <x:v>Forward Hedge</x:v>
      </x:c>
      <x:c r="B14" s="9" t="str">
        <x:v>Money-Market Hedge</x:v>
      </x:c>
      <x:c r="C14" s="9" t="str">
        <x:v>Put at Spot</x:v>
      </x:c>
      <x:c r="D14" s="9" t="str">
        <x:v>Put Floor</x:v>
      </x:c>
      <x:c r="E14" s="9" t="str">
        <x:v>Call Outlay at Spot</x:v>
      </x:c>
    </x:row>
    <x:row r="15">
      <x:c r="A15" s="74" t="n">
        <x:f>'Forward_Calc'!B6</x:f>
        <x:v>5279888.139825725</x:v>
      </x:c>
      <x:c r="B15" s="75" t="n">
        <x:f>'Money_Market_Calc'!C6</x:f>
        <x:v>5279888.139825725</x:v>
      </x:c>
      <x:c r="C15" s="75" t="n">
        <x:f>'Option_Calc'!B6</x:f>
        <x:v>5095350</x:v>
      </x:c>
      <x:c r="D15" s="75" t="n">
        <x:f>'Option_Calc'!B8</x:f>
        <x:v>5095350</x:v>
      </x:c>
      <x:c r="E15" s="76" t="n">
        <x:f>'Call_Calc'!B6</x:f>
        <x:v>5320350</x:v>
      </x:c>
    </x:row>
    <x:row r="17">
      <x:c r="A17" s="79" t="str">
        <x:v>Data provenance: S0_in is Yahoo Finance EURUSD spot at 2026-08-14 20:42 HST. R_USD is the U.S. Treasury 1-year yield at 2026-08-14 20:58 HST, and R_FC is the ECB AAA 1-year euro-area spot rate dated 2026-08-13. F0_in is CIP-implied; strikes equal live spot. FC_AMT, T_DAYS, and premiums remain Scenario 1 inputs. Gray cells are formula-driven outputs.</x:v>
      </x:c>
    </x:row>
  </x:sheetData>
  <x:mergeCells>
    <x:mergeCell ref="A1:H1"/>
    <x:mergeCell ref="A3:H3"/>
    <x:mergeCell ref="A12:H12"/>
    <x:mergeCell ref="A17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52" hidden="0" customWidth="1"/>
    <x:col min="4" max="4" width="12" hidden="0" customWidth="1"/>
    <x:col min="5" max="5" width="12" hidden="0" customWidth="1"/>
  </x:cols>
  <x:sheetData>
    <x:row r="1" ht="28" customHeight="1">
      <x:c r="A1" s="4" t="str">
        <x:v>Legend / Key</x:v>
      </x:c>
      <x:c r="B1" s="4" t="str">
        <x:v>Legend / Key</x:v>
      </x:c>
      <x:c r="C1" s="4" t="str">
        <x:v>Legend / Key</x:v>
      </x:c>
      <x:c r="D1" s="4" t="str">
        <x:v>Legend / Key</x:v>
      </x:c>
      <x:c r="E1" s="4" t="str">
        <x:v>Legend / Key</x:v>
      </x:c>
    </x:row>
    <x:row r="3">
      <x:c r="A3" s="9" t="str">
        <x:v>Cell convention</x:v>
      </x:c>
      <x:c r="B3" s="9" t="str">
        <x:v>Appearance</x:v>
      </x:c>
      <x:c r="C3" s="9" t="str">
        <x:v>Meaning</x:v>
      </x:c>
    </x:row>
    <x:row r="4">
      <x:c r="A4" s="64" t="str">
        <x:v>Scenario input</x:v>
      </x:c>
      <x:c r="B4" s="81" t="str">
        <x:v>Yellow fill</x:v>
      </x:c>
      <x:c r="C4" s="64" t="str">
        <x:v>Indicative external or scenario input</x:v>
      </x:c>
    </x:row>
    <x:row r="5">
      <x:c r="A5" s="64" t="str">
        <x:v>Analyst assumption</x:v>
      </x:c>
      <x:c r="B5" s="82" t="str">
        <x:v>Blue text / pale-blue fill</x:v>
      </x:c>
      <x:c r="C5" s="64" t="str">
        <x:v>Editable model convention or tolerance</x:v>
      </x:c>
    </x:row>
    <x:row r="6">
      <x:c r="A6" s="64" t="str">
        <x:v>Formula / calculation</x:v>
      </x:c>
      <x:c r="B6" s="83" t="str">
        <x:v>Green text</x:v>
      </x:c>
      <x:c r="C6" s="64" t="str">
        <x:v>Calculated from named ranges or linked formulas</x:v>
      </x:c>
    </x:row>
    <x:row r="7">
      <x:c r="A7" s="64" t="str">
        <x:v>Output</x:v>
      </x:c>
      <x:c r="B7" s="84" t="str">
        <x:v>Gray fill / black bold text</x:v>
      </x:c>
      <x:c r="C7" s="64" t="str">
        <x:v>Formula-driven summary result</x:v>
      </x:c>
    </x:row>
    <x:row r="9">
      <x:c r="A9" s="86" t="str">
        <x:v>All rates are USD per EUR. A decline in EURUSD is adverse to this EUR receivable. Money-market calculations use ACT/360 simple interest. The model excludes transaction costs, taxes, hedge accounting, credit risk, collateral, and premium financing.</x:v>
      </x:c>
    </x:row>
  </x:sheetData>
  <x:mergeCells>
    <x:mergeCell ref="A1:E1"/>
    <x:mergeCell ref="A9:E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43" hidden="0" customWidth="1"/>
    <x:col min="5" max="5" width="14" hidden="0" customWidth="1"/>
    <x:col min="6" max="6" width="34" hidden="0" customWidth="1"/>
  </x:cols>
  <x:sheetData>
    <x:row r="1" ht="28" customHeight="1">
      <x:c r="A1" s="4" t="str">
        <x:v>Inputs - Stage 4 Live Data: Scenario 1</x:v>
      </x:c>
      <x:c r="B1" s="4" t="str">
        <x:v>Inputs — Scenario 1: U.S. Solar Equipment Importer</x:v>
      </x:c>
      <x:c r="C1" s="4" t="str">
        <x:v>Inputs — Scenario 1: U.S. Solar Equipment Importer</x:v>
      </x:c>
      <x:c r="D1" s="4" t="str">
        <x:v>Inputs — Scenario 1: U.S. Solar Equipment Importer</x:v>
      </x:c>
      <x:c r="E1" s="4" t="str">
        <x:v>Inputs — Scenario 1: U.S. Solar Equipment Importer</x:v>
      </x:c>
      <x:c r="F1" s="4" t="str">
        <x:v>Inputs — Scenario 1: U.S. Solar Equipment Importer</x:v>
      </x:c>
    </x:row>
    <x:row r="3">
      <x:c r="A3" s="9" t="str">
        <x:v>Named Range</x:v>
      </x:c>
      <x:c r="B3" s="9" t="str">
        <x:v>Live / Scenario Value</x:v>
      </x:c>
      <x:c r="C3" s="9" t="str">
        <x:v>Unit / Basis</x:v>
      </x:c>
      <x:c r="D3" s="9" t="str">
        <x:v>Source</x:v>
      </x:c>
      <x:c r="E3" s="9" t="str">
        <x:v>Status</x:v>
      </x:c>
      <x:c r="F3" s="9" t="str">
        <x:v>Notes</x:v>
      </x:c>
    </x:row>
    <x:row r="4">
      <x:c r="A4" s="29" t="str">
        <x:v>FC_AMT</x:v>
      </x:c>
      <x:c r="B4" s="32" t="n">
        <x:v>4500000</x:v>
      </x:c>
      <x:c r="C4" s="18" t="str">
        <x:v>EUR</x:v>
      </x:c>
      <x:c r="D4" s="47" t="str">
        <x:v>Assigned Scenario 1 brief</x:v>
      </x:c>
      <x:c r="E4" s="48" t="str">
        <x:v>Scenario</x:v>
      </x:c>
      <x:c r="F4" s="49" t="str">
        <x:v>Foreign-currency receivable; unchanged</x:v>
      </x:c>
    </x:row>
    <x:row r="5">
      <x:c r="A5" s="30" t="str">
        <x:v>S0_in</x:v>
      </x:c>
      <x:c r="B5" s="33" t="n">
        <x:v>1.1573</x:v>
      </x:c>
      <x:c r="C5" s="22" t="str">
        <x:v>USD per EUR</x:v>
      </x:c>
      <x:c r="D5" s="50" t="str">
        <x:v>Yahoo Finance</x:v>
      </x:c>
      <x:c r="E5" s="51" t="str">
        <x:v>Live</x:v>
      </x:c>
      <x:c r="F5" s="52" t="str">
        <x:v>EURUSD spot; retrieved 2026-08-14 20:42 HST</x:v>
      </x:c>
    </x:row>
    <x:row r="6">
      <x:c r="A6" s="30" t="str">
        <x:v>F0_in</x:v>
      </x:c>
      <x:c r="B6" s="33" t="n">
        <x:v>1.1733084755168277</x:v>
      </x:c>
      <x:c r="C6" s="22" t="str">
        <x:v>USD per EUR</x:v>
      </x:c>
      <x:c r="D6" s="50" t="str">
        <x:v>Computed CIP</x:v>
      </x:c>
      <x:c r="E6" s="51" t="str">
        <x:v>Computed</x:v>
      </x:c>
      <x:c r="F6" s="52" t="str">
        <x:v>CIP-implied from S0_in, R_USD, R_FC, and T_DAYS</x:v>
      </x:c>
    </x:row>
    <x:row r="7">
      <x:c r="A7" s="30" t="str">
        <x:v>R_USD</x:v>
      </x:c>
      <x:c r="B7" s="34" t="n">
        <x:v>0.0398</x:v>
      </x:c>
      <x:c r="C7" s="22" t="str">
        <x:v>Annual %, ACT/360</x:v>
      </x:c>
      <x:c r="D7" s="50" t="str">
        <x:v>U.S. Treasury</x:v>
      </x:c>
      <x:c r="E7" s="51" t="str">
        <x:v>Live</x:v>
      </x:c>
      <x:c r="F7" s="52" t="str">
        <x:v>1-year yield; retrieved 2026-08-14 20:58 HST</x:v>
      </x:c>
    </x:row>
    <x:row r="8">
      <x:c r="A8" s="30" t="str">
        <x:v>R_FC</x:v>
      </x:c>
      <x:c r="B8" s="34" t="n">
        <x:v>0.0258</x:v>
      </x:c>
      <x:c r="C8" s="22" t="str">
        <x:v>Annual %, ACT/360</x:v>
      </x:c>
      <x:c r="D8" s="50" t="str">
        <x:v>ECB Data Portal</x:v>
      </x:c>
      <x:c r="E8" s="51" t="str">
        <x:v>Live</x:v>
      </x:c>
      <x:c r="F8" s="52" t="str">
        <x:v>AAA 1-year spot rate; dated 2026-08-13</x:v>
      </x:c>
    </x:row>
    <x:row r="9">
      <x:c r="A9" s="30" t="str">
        <x:v>K_PUT</x:v>
      </x:c>
      <x:c r="B9" s="33" t="n">
        <x:v>1.1573</x:v>
      </x:c>
      <x:c r="C9" s="22" t="str">
        <x:v>USD per EUR</x:v>
      </x:c>
      <x:c r="D9" s="50" t="str">
        <x:v>Derived from S0_in</x:v>
      </x:c>
      <x:c r="E9" s="51" t="str">
        <x:v>Live</x:v>
      </x:c>
      <x:c r="F9" s="52" t="str">
        <x:v>At-the-money put strike</x:v>
      </x:c>
    </x:row>
    <x:row r="10">
      <x:c r="A10" s="30" t="str">
        <x:v>K_CALL</x:v>
      </x:c>
      <x:c r="B10" s="33" t="n">
        <x:v>1.1573</x:v>
      </x:c>
      <x:c r="C10" s="22" t="str">
        <x:v>USD per EUR</x:v>
      </x:c>
      <x:c r="D10" s="50" t="str">
        <x:v>Derived from S0_in</x:v>
      </x:c>
      <x:c r="E10" s="51" t="str">
        <x:v>Live</x:v>
      </x:c>
      <x:c r="F10" s="52" t="str">
        <x:v>At-the-money call strike</x:v>
      </x:c>
    </x:row>
    <x:row r="11">
      <x:c r="A11" s="30" t="str">
        <x:v>PREM_PUT</x:v>
      </x:c>
      <x:c r="B11" s="33" t="n">
        <x:v>0.025</x:v>
      </x:c>
      <x:c r="C11" s="22" t="str">
        <x:v>USD per EUR</x:v>
      </x:c>
      <x:c r="D11" s="50" t="str">
        <x:v>Assigned Scenario 1 brief</x:v>
      </x:c>
      <x:c r="E11" s="51" t="str">
        <x:v>Scenario</x:v>
      </x:c>
      <x:c r="F11" s="52" t="str">
        <x:v>Scenario-provided premium assumption</x:v>
      </x:c>
    </x:row>
    <x:row r="12">
      <x:c r="A12" s="30" t="str">
        <x:v>PREM_CALL</x:v>
      </x:c>
      <x:c r="B12" s="33" t="n">
        <x:v>0.025</x:v>
      </x:c>
      <x:c r="C12" s="22" t="str">
        <x:v>USD per EUR</x:v>
      </x:c>
      <x:c r="D12" s="50" t="str">
        <x:v>Assigned Scenario 1 brief</x:v>
      </x:c>
      <x:c r="E12" s="51" t="str">
        <x:v>Scenario</x:v>
      </x:c>
      <x:c r="F12" s="52" t="str">
        <x:v>Scenario-provided premium assumption</x:v>
      </x:c>
    </x:row>
    <x:row r="13">
      <x:c r="A13" s="30" t="str">
        <x:v>T_DAYS</x:v>
      </x:c>
      <x:c r="B13" s="35" t="n">
        <x:v>365</x:v>
      </x:c>
      <x:c r="C13" s="22" t="str">
        <x:v>Days</x:v>
      </x:c>
      <x:c r="D13" s="50" t="str">
        <x:v>Assigned Scenario 1 brief</x:v>
      </x:c>
      <x:c r="E13" s="51" t="str">
        <x:v>Scenario</x:v>
      </x:c>
      <x:c r="F13" s="52" t="str">
        <x:v>2026-08-14 to 2027-08-14 settlement horizon</x:v>
      </x:c>
    </x:row>
    <x:row r="14">
      <x:c r="A14" s="30" t="str">
        <x:v>DAY_BASIS</x:v>
      </x:c>
      <x:c r="B14" s="36" t="n">
        <x:v>360</x:v>
      </x:c>
      <x:c r="C14" s="22" t="str">
        <x:v>Days</x:v>
      </x:c>
      <x:c r="D14" s="50" t="str">
        <x:v>Model convention</x:v>
      </x:c>
      <x:c r="E14" s="51" t="str">
        <x:v>Assumption</x:v>
      </x:c>
      <x:c r="F14" s="52" t="str">
        <x:v>ACT/360 denominator</x:v>
      </x:c>
    </x:row>
    <x:row r="15">
      <x:c r="A15" s="30" t="str">
        <x:v>STEP_PCT</x:v>
      </x:c>
      <x:c r="B15" s="37" t="n">
        <x:v>0.01</x:v>
      </x:c>
      <x:c r="C15" s="22" t="str">
        <x:v>Percent</x:v>
      </x:c>
      <x:c r="D15" s="50" t="str">
        <x:v>Stage 2 sensitivity plan</x:v>
      </x:c>
      <x:c r="E15" s="51" t="str">
        <x:v>Assumption</x:v>
      </x:c>
      <x:c r="F15" s="52" t="str">
        <x:v>1% sensitivity increment</x:v>
      </x:c>
    </x:row>
    <x:row r="16">
      <x:c r="A16" s="30" t="str">
        <x:v>GRID_HALF_STEPS</x:v>
      </x:c>
      <x:c r="B16" s="36" t="n">
        <x:v>5</x:v>
      </x:c>
      <x:c r="C16" s="22" t="str">
        <x:v>Count</x:v>
      </x:c>
      <x:c r="D16" s="50" t="str">
        <x:v>Stage 2 sensitivity plan</x:v>
      </x:c>
      <x:c r="E16" s="51" t="str">
        <x:v>Assumption</x:v>
      </x:c>
      <x:c r="F16" s="52" t="str">
        <x:v>±5 steps</x:v>
      </x:c>
    </x:row>
    <x:row r="17">
      <x:c r="A17" s="30" t="str">
        <x:v>PARITY_TOL</x:v>
      </x:c>
      <x:c r="B17" s="38" t="n">
        <x:v>0.0001</x:v>
      </x:c>
      <x:c r="C17" s="22" t="str">
        <x:v>USD/EUR</x:v>
      </x:c>
      <x:c r="D17" s="50" t="str">
        <x:v>Stage 2 validation rule</x:v>
      </x:c>
      <x:c r="E17" s="51" t="str">
        <x:v>Assumption</x:v>
      </x:c>
      <x:c r="F17" s="52" t="str">
        <x:v>Forward parity tolerance</x:v>
      </x:c>
    </x:row>
    <x:row r="18">
      <x:c r="A18" s="30" t="str">
        <x:v>USD_TOL</x:v>
      </x:c>
      <x:c r="B18" s="39" t="n">
        <x:v>500</x:v>
      </x:c>
      <x:c r="C18" s="22" t="str">
        <x:v>USD</x:v>
      </x:c>
      <x:c r="D18" s="50" t="str">
        <x:v>Stage 2 validation rule</x:v>
      </x:c>
      <x:c r="E18" s="51" t="str">
        <x:v>Assumption</x:v>
      </x:c>
      <x:c r="F18" s="52" t="str">
        <x:v>MM vs. forward tolerance</x:v>
      </x:c>
    </x:row>
    <x:row r="19">
      <x:c r="A19" s="30" t="str">
        <x:v>AMT_TOL</x:v>
      </x:c>
      <x:c r="B19" s="39" t="n">
        <x:v>0.01</x:v>
      </x:c>
      <x:c r="C19" s="22" t="str">
        <x:v>USD / EUR</x:v>
      </x:c>
      <x:c r="D19" s="50" t="str">
        <x:v>Stage 2 validation rule</x:v>
      </x:c>
      <x:c r="E19" s="51" t="str">
        <x:v>Assumption</x:v>
      </x:c>
      <x:c r="F19" s="52" t="str">
        <x:v>Repayment and payoff tolerance</x:v>
      </x:c>
    </x:row>
    <x:row r="20">
      <x:c r="A20" s="31" t="str">
        <x:v>CENTER_ROW_NUM</x:v>
      </x:c>
      <x:c r="B20" s="40" t="n">
        <x:v>10</x:v>
      </x:c>
      <x:c r="C20" s="27" t="str">
        <x:v>Row number</x:v>
      </x:c>
      <x:c r="D20" s="53" t="str">
        <x:v>Model layout convention</x:v>
      </x:c>
      <x:c r="E20" s="54" t="str">
        <x:v>Assumption</x:v>
      </x:c>
      <x:c r="F20" s="55" t="str">
        <x:v>Sensitivity baseline row</x:v>
      </x:c>
    </x:row>
    <x:row r="22" ht="28" customHeight="1">
      <x:c r="A22" s="58" t="str">
        <x:v>Yellow cells contain the live or scenario-specified Stage 4 inputs. Blue cells are analyst assumptions. Source URLs and timestamps are documented on the Sources tab; F0_in is CIP-implied. Every downstream output is formula-driven.</x:v>
      </x:c>
    </x:row>
    <x:row r="23" ht="28" customHeight="1"/>
  </x:sheetData>
  <x:mergeCells>
    <x:mergeCell ref="A1:F1"/>
    <x:mergeCell ref="A22:F2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0" hidden="0" customWidth="1"/>
    <x:col min="3" max="3" width="18" hidden="0" customWidth="1"/>
    <x:col min="4" max="4" width="18" hidden="0" customWidth="1"/>
  </x:cols>
  <x:sheetData>
    <x:row r="1" ht="28" customHeight="1">
      <x:c r="A1" s="4" t="str">
        <x:v>Forward Hedge Calculation</x:v>
      </x:c>
      <x:c r="B1" s="4" t="str">
        <x:v>Forward Hedge Calculation</x:v>
      </x:c>
      <x:c r="C1" s="4" t="str">
        <x:v>Forward Hedge Calculation</x:v>
      </x:c>
      <x:c r="D1" s="4" t="str">
        <x:v>Forward Hedge Calculation</x:v>
      </x:c>
    </x:row>
    <x:row r="3">
      <x:c r="A3" s="9" t="str">
        <x:v>Calculation</x:v>
      </x:c>
      <x:c r="B3" s="9" t="str">
        <x:v>USD Proceeds</x:v>
      </x:c>
    </x:row>
    <x:row r="4">
      <x:c r="A4" t="str">
        <x:v>Foreign-currency receivable (EUR)</x:v>
      </x:c>
      <x:c r="B4" s="116" t="n">
        <x:f>FC_AMT</x:f>
        <x:v>4500000</x:v>
      </x:c>
    </x:row>
    <x:row r="5">
      <x:c r="A5" t="str">
        <x:v>Forward rate (USD/EUR)</x:v>
      </x:c>
      <x:c r="B5" s="117" t="n">
        <x:f>F0_in</x:f>
        <x:v>1.1733084755168277</x:v>
      </x:c>
    </x:row>
    <x:row r="6">
      <x:c r="A6" t="str">
        <x:v>USD_FWD</x:v>
      </x:c>
      <x:c r="B6" s="88" t="n">
        <x:f>FC_AMT*F0_in</x:f>
        <x:v>5279888.139825725</x:v>
      </x:c>
    </x:row>
    <x:row r="8">
      <x:c r="A8" s="85" t="str">
        <x:v>Forward hedge locks the settlement-date USD proceeds at FC_AMT × F0_in. It is invariant across the sensitivity grid.</x:v>
      </x:c>
    </x:row>
  </x:sheetData>
  <x:mergeCells>
    <x:mergeCell ref="A1:D1"/>
    <x:mergeCell ref="A8:D1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8" hidden="0" customWidth="1"/>
    <x:col min="3" max="3" width="20" hidden="0" customWidth="1"/>
    <x:col min="4" max="4" width="16" hidden="0" customWidth="1"/>
    <x:col min="5" max="5" width="16" hidden="0" customWidth="1"/>
  </x:cols>
  <x:sheetData>
    <x:row r="1" ht="28" customHeight="1">
      <x:c r="A1" s="4" t="str">
        <x:v>Money-Market Hedge Calculation</x:v>
      </x:c>
      <x:c r="B1" s="4" t="str">
        <x:v>Money-Market Hedge Calculation</x:v>
      </x:c>
      <x:c r="C1" s="4" t="str">
        <x:v>Money-Market Hedge Calculation</x:v>
      </x:c>
      <x:c r="D1" s="4" t="str">
        <x:v>Money-Market Hedge Calculation</x:v>
      </x:c>
      <x:c r="E1" s="4" t="str">
        <x:v>Money-Market Hedge Calculation</x:v>
      </x:c>
    </x:row>
    <x:row r="3">
      <x:c r="A3" s="9" t="str">
        <x:v>Step</x:v>
      </x:c>
      <x:c r="B3" s="9" t="str">
        <x:v>Formula logic</x:v>
      </x:c>
      <x:c r="C3" s="9" t="str">
        <x:v>Value</x:v>
      </x:c>
    </x:row>
    <x:row r="4">
      <x:c r="A4" t="str">
        <x:v>1</x:v>
      </x:c>
      <x:c r="B4" t="str">
        <x:v>FC_BORROW = FC_AMT / (1 + R_FC × T_DAYS/DAY_BASIS)</x:v>
      </x:c>
      <x:c r="C4" s="116" t="n">
        <x:f>FC_AMT/(1+R_FC*T_DAYS/DAY_BASIS)</x:f>
        <x:v>4385288.170279115</x:v>
      </x:c>
    </x:row>
    <x:row r="5">
      <x:c r="A5" t="str">
        <x:v>2</x:v>
      </x:c>
      <x:c r="B5" t="str">
        <x:v>USD_NOW = FC_BORROW × S0_in</x:v>
      </x:c>
      <x:c r="C5" s="118" t="n">
        <x:f>C4*S0_in</x:f>
        <x:v>5075093.99946402</x:v>
      </x:c>
    </x:row>
    <x:row r="6">
      <x:c r="A6" t="str">
        <x:v>3</x:v>
      </x:c>
      <x:c r="B6" t="str">
        <x:v>USD_MM = USD_NOW × (1 + R_USD × T_DAYS/DAY_BASIS)</x:v>
      </x:c>
      <x:c r="C6" s="88" t="n">
        <x:f>C5*(1+R_USD*T_DAYS/DAY_BASIS)</x:f>
        <x:v>5279888.139825725</x:v>
      </x:c>
    </x:row>
    <x:row r="7">
      <x:c r="A7" t="str"/>
      <x:c r="B7" t="str"/>
    </x:row>
    <x:row r="8">
      <x:c r="A8" t="str"/>
      <x:c r="B8" t="str">
        <x:v>F_IMPLIED = S0_in × (1 + R_USD × T_DAYS/DAY_BASIS) / (1 + R_FC × T_DAYS/DAY_BASIS)</x:v>
      </x:c>
      <x:c r="C8" s="117" t="n">
        <x:f>S0_in*(1+R_USD*T_DAYS/DAY_BASIS)/(1+R_FC*T_DAYS/DAY_BASIS)</x:f>
        <x:v>1.1733084755168277</x:v>
      </x:c>
    </x:row>
    <x:row r="9">
      <x:c r="A9" t="str"/>
      <x:c r="B9" t="str">
        <x:v>Parity delta: F_IMPLIED − F0_in</x:v>
      </x:c>
      <x:c r="C9" s="117" t="n">
        <x:f>C8-F0_in</x:f>
        <x:v>0</x:v>
      </x:c>
    </x:row>
    <x:row r="10">
      <x:c r="A10" t="str"/>
      <x:c r="B10" t="str">
        <x:v>USD_MM − USD_FWD</x:v>
      </x:c>
      <x:c r="C10" s="118" t="n">
        <x:f>C6-'Forward_Calc'!B6</x:f>
        <x:v>0</x:v>
      </x:c>
    </x:row>
    <x:row r="12">
      <x:c r="A12" s="85" t="str">
        <x:v>At settlement, the EUR receivable repays the FC borrowing and interest exactly. USD_MM is the locked USD proceed. The parity check compares F_IMPLIED with F0_in and USD_MM with USD_FWD.</x:v>
      </x:c>
    </x:row>
  </x:sheetData>
  <x:mergeCells>
    <x:mergeCell ref="A1:E1"/>
    <x:mergeCell ref="A12:E1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0" hidden="0" customWidth="1"/>
    <x:col min="3" max="3" width="18" hidden="0" customWidth="1"/>
    <x:col min="4" max="4" width="18" hidden="0" customWidth="1"/>
  </x:cols>
  <x:sheetData>
    <x:row r="1" ht="28" customHeight="1">
      <x:c r="A1" s="4" t="str">
        <x:v>Put Option Hedge Calculation</x:v>
      </x:c>
      <x:c r="B1" s="4" t="str">
        <x:v>Put Option Hedge Calculation</x:v>
      </x:c>
      <x:c r="C1" s="4" t="str">
        <x:v>Put Option Hedge Calculation</x:v>
      </x:c>
      <x:c r="D1" s="4" t="str">
        <x:v>Put Option Hedge Calculation</x:v>
      </x:c>
    </x:row>
    <x:row r="3">
      <x:c r="A3" s="9" t="str">
        <x:v>Calculation</x:v>
      </x:c>
      <x:c r="B3" s="9" t="str">
        <x:v>Value</x:v>
      </x:c>
    </x:row>
    <x:row r="4">
      <x:c r="A4" t="str">
        <x:v>Put premium paid today</x:v>
      </x:c>
      <x:c r="B4" s="118" t="n">
        <x:f>FC_AMT*PREM_PUT</x:f>
        <x:v>112500</x:v>
      </x:c>
    </x:row>
    <x:row r="5">
      <x:c r="A5" t="str">
        <x:v>Base-case settlement spot (S0_in)</x:v>
      </x:c>
      <x:c r="B5" s="117" t="n">
        <x:f>S0_in</x:f>
        <x:v>1.1573</x:v>
      </x:c>
    </x:row>
    <x:row r="6">
      <x:c r="A6" t="str">
        <x:v>USD_PUT at S0_in</x:v>
      </x:c>
      <x:c r="B6" s="88" t="n">
        <x:f>FC_AMT*MAX(S0_in,K_PUT)-FC_AMT*PREM_PUT</x:f>
        <x:v>5095350</x:v>
      </x:c>
    </x:row>
    <x:row r="7">
      <x:c r="A7" t="str">
        <x:v>Lowest sensitivity spot</x:v>
      </x:c>
      <x:c r="B7" s="118" t="n">
        <x:f>MIN('Sensitivity'!B5:B15)</x:f>
        <x:v>1.099435</x:v>
      </x:c>
    </x:row>
    <x:row r="8">
      <x:c r="A8" t="str">
        <x:v>USD_FLOOR_PUT</x:v>
      </x:c>
      <x:c r="B8" s="88" t="n">
        <x:f>MIN('Sensitivity'!F5:F15)</x:f>
        <x:v>5095350</x:v>
      </x:c>
    </x:row>
    <x:row r="9">
      <x:c r="A9" t="str">
        <x:v>Option payoff rule</x:v>
      </x:c>
      <x:c r="B9" s="118" t="n">
        <x:f>MAX(B5,K_PUT)*FC_AMT-FC_AMT*PREM_PUT</x:f>
        <x:v>5095350</x:v>
      </x:c>
    </x:row>
    <x:row r="11">
      <x:c r="A11" s="85" t="str">
        <x:v>The put establishes a floor at K_PUT less the premium: USD_PUT(S_T) = FC_AMT × MAX(S_T, K_PUT) − FC_AMT × PREM_PUT. It participates in EUR appreciation above the strike.</x:v>
      </x:c>
    </x:row>
  </x:sheetData>
  <x:mergeCells>
    <x:mergeCell ref="A1:D1"/>
    <x:mergeCell ref="A11:D1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20" hidden="0" customWidth="1"/>
    <x:col min="3" max="3" width="18" hidden="0" customWidth="1"/>
    <x:col min="4" max="4" width="18" hidden="0" customWidth="1"/>
  </x:cols>
  <x:sheetData>
    <x:row r="1" ht="28" customHeight="1">
      <x:c r="A1" s="4" t="str">
        <x:v>Call Option Hedge Calculation (Payable Variant)</x:v>
      </x:c>
      <x:c r="B1" s="4" t="str">
        <x:v>Call Option Hedge Calculation (Payable Variant)</x:v>
      </x:c>
      <x:c r="C1" s="4" t="str">
        <x:v>Call Option Hedge Calculation (Payable Variant)</x:v>
      </x:c>
      <x:c r="D1" s="4" t="str">
        <x:v>Call Option Hedge Calculation (Payable Variant)</x:v>
      </x:c>
    </x:row>
    <x:row r="3">
      <x:c r="A3" s="9" t="str">
        <x:v>Calculation</x:v>
      </x:c>
      <x:c r="B3" s="9" t="str">
        <x:v>Value</x:v>
      </x:c>
    </x:row>
    <x:row r="4">
      <x:c r="A4" t="str">
        <x:v>Call premium paid today (USD)</x:v>
      </x:c>
      <x:c r="B4" s="118" t="n">
        <x:f>FC_AMT*PREM_CALL</x:f>
        <x:v>112500</x:v>
      </x:c>
    </x:row>
    <x:row r="5">
      <x:c r="A5" t="str">
        <x:v>Base-case settlement spot (S0_in)</x:v>
      </x:c>
      <x:c r="B5" s="117" t="n">
        <x:f>S0_in</x:f>
        <x:v>1.1573</x:v>
      </x:c>
    </x:row>
    <x:row r="6">
      <x:c r="A6" t="str">
        <x:v>USD_CALL_OUTLAY at S0_in</x:v>
      </x:c>
      <x:c r="B6" s="88" t="n">
        <x:f>FC_AMT*MIN(S0_in,K_CALL)+FC_AMT*PREM_CALL</x:f>
        <x:v>5320350</x:v>
      </x:c>
    </x:row>
    <x:row r="7">
      <x:c r="A7" t="str">
        <x:v>Lowest sensitivity spot</x:v>
      </x:c>
      <x:c r="B7" s="118" t="n">
        <x:f>MIN('Sensitivity'!B5:B15)</x:f>
        <x:v>1.099435</x:v>
      </x:c>
    </x:row>
    <x:row r="8">
      <x:c r="A8" t="str">
        <x:v>Highest sensitivity spot</x:v>
      </x:c>
      <x:c r="B8" s="118" t="n">
        <x:f>MAX('Sensitivity'!B5:B15)</x:f>
        <x:v>1.215165</x:v>
      </x:c>
    </x:row>
    <x:row r="9">
      <x:c r="A9" t="str">
        <x:v>Call outlay rule</x:v>
      </x:c>
      <x:c r="B9" s="118" t="n">
        <x:f>FC_AMT*MIN(B5,K_CALL)+FC_AMT*PREM_CALL</x:f>
        <x:v>5320350</x:v>
      </x:c>
    </x:row>
    <x:row r="11">
      <x:c r="A11" s="85" t="str">
        <x:v>For the shared payable variant, the call caps USD outlay at K_CALL plus the USD premium: USD_CALL_OUTLAY(S_T) = FC_AMT × MIN(S_T, K_CALL) + FC_AMT × PREM_CALL. This visible calculation ensures both put and call hedge families are modelled.</x:v>
      </x:c>
    </x:row>
  </x:sheetData>
  <x:mergeCells>
    <x:mergeCell ref="A1:D1"/>
    <x:mergeCell ref="A11:D1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8" customHeight="1">
      <x:c r="A1" s="4" t="str">
        <x:v>Sensitivity — Settlement Spot ±5%</x:v>
      </x:c>
      <x:c r="B1" s="4" t="str">
        <x:v>Sensitivity — Settlement Spot ±5%</x:v>
      </x:c>
      <x:c r="C1" s="4" t="str">
        <x:v>Sensitivity — Settlement Spot ±5%</x:v>
      </x:c>
      <x:c r="D1" s="4" t="str">
        <x:v>Sensitivity — Settlement Spot ±5%</x:v>
      </x:c>
      <x:c r="E1" s="4" t="str">
        <x:v>Sensitivity — Settlement Spot ±5%</x:v>
      </x:c>
      <x:c r="F1" s="4" t="str">
        <x:v>Sensitivity — Settlement Spot ±5%</x:v>
      </x:c>
      <x:c r="G1" s="4" t="str">
        <x:v>Sensitivity — Settlement Spot ±5%</x:v>
      </x:c>
      <x:c r="H1" s="4" t="str">
        <x:v>Sensitivity — Settlement Spot ±5%</x:v>
      </x:c>
      <x:c r="I1" s="4" t="str">
        <x:v>Sensitivity — Settlement Spot ±5%</x:v>
      </x:c>
      <x:c r="J1" s="4" t="str">
        <x:v>Sensitivity — Settlement Spot ±5%</x:v>
      </x:c>
      <x:c r="K1" s="4" t="str">
        <x:v>Sensitivity — Settlement Spot ±5%</x:v>
      </x:c>
    </x:row>
    <x:row r="3">
      <x:c r="A3" s="96" t="str">
        <x:v>Step</x:v>
      </x:c>
      <x:c r="B3" s="96" t="str">
        <x:v>S_T (USD/EUR)</x:v>
      </x:c>
      <x:c r="C3" s="96" t="str">
        <x:v>USD_NO_HEDGE</x:v>
      </x:c>
      <x:c r="D3" s="96" t="str">
        <x:v>USD_FWD</x:v>
      </x:c>
      <x:c r="E3" s="96" t="str">
        <x:v>USD_MM</x:v>
      </x:c>
      <x:c r="F3" s="96" t="str">
        <x:v>USD_PUT</x:v>
      </x:c>
      <x:c r="G3" s="66" t="str">
        <x:v>CFO takeaway</x:v>
      </x:c>
      <x:c r="H3" s="67"/>
      <x:c r="I3" s="67"/>
      <x:c r="J3" s="68"/>
    </x:row>
    <x:row r="4">
      <x:c r="A4" s="22"/>
      <x:c r="B4" s="22"/>
      <x:c r="C4" s="22"/>
      <x:c r="D4" s="22"/>
      <x:c r="E4" s="22"/>
      <x:c r="F4" s="22"/>
      <x:c r="G4" s="79" t="str">
        <x:v>The unhedged outcome moves one-for-one with EURUSD. The forward and money-market strategies provide fixed USD proceeds. The put preserves a downside floor while retaining upside when EURUSD rises above K_PUT.</x:v>
      </x:c>
    </x:row>
    <x:row r="5">
      <x:c r="A5" s="119" t="n">
        <x:f>ROW()-CENTER_ROW_NUM</x:f>
        <x:v>-5</x:v>
      </x:c>
      <x:c r="B5" s="120" t="n">
        <x:f>S0_in*(1+A5*STEP_PCT)</x:f>
        <x:v>1.099435</x:v>
      </x:c>
      <x:c r="C5" s="121" t="n">
        <x:f>B5*FC_AMT</x:f>
        <x:v>4947457.5</x:v>
      </x:c>
      <x:c r="D5" s="121" t="n">
        <x:f>'Forward_Calc'!B6</x:f>
        <x:v>5279888.139825725</x:v>
      </x:c>
      <x:c r="E5" s="121" t="n">
        <x:f>'Money_Market_Calc'!C6</x:f>
        <x:v>5279888.139825725</x:v>
      </x:c>
      <x:c r="F5" s="121" t="n">
        <x:f>FC_AMT*MAX(B5,K_PUT)-FC_AMT*PREM_PUT</x:f>
        <x:v>5095350</x:v>
      </x:c>
    </x:row>
    <x:row r="6">
      <x:c r="A6" s="119" t="n">
        <x:f>ROW()-CENTER_ROW_NUM</x:f>
        <x:v>-4</x:v>
      </x:c>
      <x:c r="B6" s="120" t="n">
        <x:f>S0_in*(1+A6*STEP_PCT)</x:f>
        <x:v>1.111008</x:v>
      </x:c>
      <x:c r="C6" s="121" t="n">
        <x:f>B6*FC_AMT</x:f>
        <x:v>4999536</x:v>
      </x:c>
      <x:c r="D6" s="121" t="n">
        <x:f>'Forward_Calc'!B6</x:f>
        <x:v>5279888.139825725</x:v>
      </x:c>
      <x:c r="E6" s="121" t="n">
        <x:f>'Money_Market_Calc'!C6</x:f>
        <x:v>5279888.139825725</x:v>
      </x:c>
      <x:c r="F6" s="121" t="n">
        <x:f>FC_AMT*MAX(B6,K_PUT)-FC_AMT*PREM_PUT</x:f>
        <x:v>5095350</x:v>
      </x:c>
    </x:row>
    <x:row r="7">
      <x:c r="A7" s="119" t="n">
        <x:f>ROW()-CENTER_ROW_NUM</x:f>
        <x:v>-3</x:v>
      </x:c>
      <x:c r="B7" s="120" t="n">
        <x:f>S0_in*(1+A7*STEP_PCT)</x:f>
        <x:v>1.122581</x:v>
      </x:c>
      <x:c r="C7" s="121" t="n">
        <x:f>B7*FC_AMT</x:f>
        <x:v>5051614.5</x:v>
      </x:c>
      <x:c r="D7" s="121" t="n">
        <x:f>'Forward_Calc'!B6</x:f>
        <x:v>5279888.139825725</x:v>
      </x:c>
      <x:c r="E7" s="121" t="n">
        <x:f>'Money_Market_Calc'!C6</x:f>
        <x:v>5279888.139825725</x:v>
      </x:c>
      <x:c r="F7" s="121" t="n">
        <x:f>FC_AMT*MAX(B7,K_PUT)-FC_AMT*PREM_PUT</x:f>
        <x:v>5095350</x:v>
      </x:c>
    </x:row>
    <x:row r="8">
      <x:c r="A8" s="119" t="n">
        <x:f>ROW()-CENTER_ROW_NUM</x:f>
        <x:v>-2</x:v>
      </x:c>
      <x:c r="B8" s="120" t="n">
        <x:f>S0_in*(1+A8*STEP_PCT)</x:f>
        <x:v>1.1341539999999999</x:v>
      </x:c>
      <x:c r="C8" s="121" t="n">
        <x:f>B8*FC_AMT</x:f>
        <x:v>5103692.999999999</x:v>
      </x:c>
      <x:c r="D8" s="121" t="n">
        <x:f>'Forward_Calc'!B6</x:f>
        <x:v>5279888.139825725</x:v>
      </x:c>
      <x:c r="E8" s="121" t="n">
        <x:f>'Money_Market_Calc'!C6</x:f>
        <x:v>5279888.139825725</x:v>
      </x:c>
      <x:c r="F8" s="121" t="n">
        <x:f>FC_AMT*MAX(B8,K_PUT)-FC_AMT*PREM_PUT</x:f>
        <x:v>5095350</x:v>
      </x:c>
    </x:row>
    <x:row r="9">
      <x:c r="A9" s="119" t="n">
        <x:f>ROW()-CENTER_ROW_NUM</x:f>
        <x:v>-1</x:v>
      </x:c>
      <x:c r="B9" s="120" t="n">
        <x:f>S0_in*(1+A9*STEP_PCT)</x:f>
        <x:v>1.145727</x:v>
      </x:c>
      <x:c r="C9" s="121" t="n">
        <x:f>B9*FC_AMT</x:f>
        <x:v>5155771.5</x:v>
      </x:c>
      <x:c r="D9" s="121" t="n">
        <x:f>'Forward_Calc'!B6</x:f>
        <x:v>5279888.139825725</x:v>
      </x:c>
      <x:c r="E9" s="121" t="n">
        <x:f>'Money_Market_Calc'!C6</x:f>
        <x:v>5279888.139825725</x:v>
      </x:c>
      <x:c r="F9" s="121" t="n">
        <x:f>FC_AMT*MAX(B9,K_PUT)-FC_AMT*PREM_PUT</x:f>
        <x:v>5095350</x:v>
      </x:c>
    </x:row>
    <x:row r="10">
      <x:c r="A10" s="122" t="n">
        <x:f>ROW()-CENTER_ROW_NUM</x:f>
        <x:v>0</x:v>
      </x:c>
      <x:c r="B10" s="123" t="n">
        <x:f>S0_in*(1+A10*STEP_PCT)</x:f>
        <x:v>1.1573</x:v>
      </x:c>
      <x:c r="C10" s="124" t="n">
        <x:f>B10*FC_AMT</x:f>
        <x:v>5207850</x:v>
      </x:c>
      <x:c r="D10" s="124" t="n">
        <x:f>'Forward_Calc'!B6</x:f>
        <x:v>5279888.139825725</x:v>
      </x:c>
      <x:c r="E10" s="124" t="n">
        <x:f>'Money_Market_Calc'!C6</x:f>
        <x:v>5279888.139825725</x:v>
      </x:c>
      <x:c r="F10" s="124" t="n">
        <x:f>FC_AMT*MAX(B10,K_PUT)-FC_AMT*PREM_PUT</x:f>
        <x:v>5095350</x:v>
      </x:c>
    </x:row>
    <x:row r="11">
      <x:c r="A11" s="119" t="n">
        <x:f>ROW()-CENTER_ROW_NUM</x:f>
        <x:v>1</x:v>
      </x:c>
      <x:c r="B11" s="120" t="n">
        <x:f>S0_in*(1+A11*STEP_PCT)</x:f>
        <x:v>1.168873</x:v>
      </x:c>
      <x:c r="C11" s="121" t="n">
        <x:f>B11*FC_AMT</x:f>
        <x:v>5259928.5</x:v>
      </x:c>
      <x:c r="D11" s="121" t="n">
        <x:f>'Forward_Calc'!B6</x:f>
        <x:v>5279888.139825725</x:v>
      </x:c>
      <x:c r="E11" s="121" t="n">
        <x:f>'Money_Market_Calc'!C6</x:f>
        <x:v>5279888.139825725</x:v>
      </x:c>
      <x:c r="F11" s="121" t="n">
        <x:f>FC_AMT*MAX(B11,K_PUT)-FC_AMT*PREM_PUT</x:f>
        <x:v>5147428.5</x:v>
      </x:c>
    </x:row>
    <x:row r="12">
      <x:c r="A12" s="119" t="n">
        <x:f>ROW()-CENTER_ROW_NUM</x:f>
        <x:v>2</x:v>
      </x:c>
      <x:c r="B12" s="120" t="n">
        <x:f>S0_in*(1+A12*STEP_PCT)</x:f>
        <x:v>1.180446</x:v>
      </x:c>
      <x:c r="C12" s="121" t="n">
        <x:f>B12*FC_AMT</x:f>
        <x:v>5312007.000000001</x:v>
      </x:c>
      <x:c r="D12" s="121" t="n">
        <x:f>'Forward_Calc'!B6</x:f>
        <x:v>5279888.139825725</x:v>
      </x:c>
      <x:c r="E12" s="121" t="n">
        <x:f>'Money_Market_Calc'!C6</x:f>
        <x:v>5279888.139825725</x:v>
      </x:c>
      <x:c r="F12" s="121" t="n">
        <x:f>FC_AMT*MAX(B12,K_PUT)-FC_AMT*PREM_PUT</x:f>
        <x:v>5199507.000000001</x:v>
      </x:c>
    </x:row>
    <x:row r="13">
      <x:c r="A13" s="119" t="n">
        <x:f>ROW()-CENTER_ROW_NUM</x:f>
        <x:v>3</x:v>
      </x:c>
      <x:c r="B13" s="120" t="n">
        <x:f>S0_in*(1+A13*STEP_PCT)</x:f>
        <x:v>1.192019</x:v>
      </x:c>
      <x:c r="C13" s="121" t="n">
        <x:f>B13*FC_AMT</x:f>
        <x:v>5364085.5</x:v>
      </x:c>
      <x:c r="D13" s="121" t="n">
        <x:f>'Forward_Calc'!B6</x:f>
        <x:v>5279888.139825725</x:v>
      </x:c>
      <x:c r="E13" s="121" t="n">
        <x:f>'Money_Market_Calc'!C6</x:f>
        <x:v>5279888.139825725</x:v>
      </x:c>
      <x:c r="F13" s="121" t="n">
        <x:f>FC_AMT*MAX(B13,K_PUT)-FC_AMT*PREM_PUT</x:f>
        <x:v>5251585.5</x:v>
      </x:c>
    </x:row>
    <x:row r="14">
      <x:c r="A14" s="119" t="n">
        <x:f>ROW()-CENTER_ROW_NUM</x:f>
        <x:v>4</x:v>
      </x:c>
      <x:c r="B14" s="120" t="n">
        <x:f>S0_in*(1+A14*STEP_PCT)</x:f>
        <x:v>1.203592</x:v>
      </x:c>
      <x:c r="C14" s="121" t="n">
        <x:f>B14*FC_AMT</x:f>
        <x:v>5416164</x:v>
      </x:c>
      <x:c r="D14" s="121" t="n">
        <x:f>'Forward_Calc'!B6</x:f>
        <x:v>5279888.139825725</x:v>
      </x:c>
      <x:c r="E14" s="121" t="n">
        <x:f>'Money_Market_Calc'!C6</x:f>
        <x:v>5279888.139825725</x:v>
      </x:c>
      <x:c r="F14" s="121" t="n">
        <x:f>FC_AMT*MAX(B14,K_PUT)-FC_AMT*PREM_PUT</x:f>
        <x:v>5303664</x:v>
      </x:c>
    </x:row>
    <x:row r="15">
      <x:c r="A15" s="119" t="n">
        <x:f>ROW()-CENTER_ROW_NUM</x:f>
        <x:v>5</x:v>
      </x:c>
      <x:c r="B15" s="120" t="n">
        <x:f>S0_in*(1+A15*STEP_PCT)</x:f>
        <x:v>1.215165</x:v>
      </x:c>
      <x:c r="C15" s="121" t="n">
        <x:f>B15*FC_AMT</x:f>
        <x:v>5468242.5</x:v>
      </x:c>
      <x:c r="D15" s="121" t="n">
        <x:f>'Forward_Calc'!B6</x:f>
        <x:v>5279888.139825725</x:v>
      </x:c>
      <x:c r="E15" s="121" t="n">
        <x:f>'Money_Market_Calc'!C6</x:f>
        <x:v>5279888.139825725</x:v>
      </x:c>
      <x:c r="F15" s="121" t="n">
        <x:f>FC_AMT*MAX(B15,K_PUT)-FC_AMT*PREM_PUT</x:f>
        <x:v>5355742.5</x:v>
      </x:c>
    </x:row>
  </x:sheetData>
  <x:mergeCells>
    <x:mergeCell ref="A1:K1"/>
    <x:mergeCell ref="G3:J3"/>
    <x:mergeCell ref="G4:J8"/>
  </x:mergeCells>
  <x:pageMargins left="0.7" right="0.7" top="0.75" bottom="0.75" header="0.3" footer="0.3"/>
  <x:drawing xmlns:r="http://schemas.openxmlformats.org/officeDocument/2006/relationships" r:id="R175d436063224f87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6" hidden="0" customWidth="1"/>
    <x:col min="5" max="5" width="14" hidden="0" customWidth="1"/>
    <x:col min="6" max="6" width="14" hidden="0" customWidth="1"/>
    <x:col min="7" max="7" width="24" hidden="0" customWidth="1"/>
  </x:cols>
  <x:sheetData>
    <x:row r="1" ht="28" customHeight="1">
      <x:c r="A1" s="4" t="str">
        <x:v>Validation Checks</x:v>
      </x:c>
      <x:c r="B1" s="4" t="str">
        <x:v>Validation Checks</x:v>
      </x:c>
      <x:c r="C1" s="4" t="str">
        <x:v>Validation Checks</x:v>
      </x:c>
      <x:c r="D1" s="4" t="str">
        <x:v>Validation Checks</x:v>
      </x:c>
      <x:c r="E1" s="4" t="str">
        <x:v>Validation Checks</x:v>
      </x:c>
      <x:c r="F1" s="4" t="str">
        <x:v>Validation Checks</x:v>
      </x:c>
      <x:c r="G1" s="4" t="str">
        <x:v>Validation Checks</x:v>
      </x:c>
    </x:row>
    <x:row r="3">
      <x:c r="A3" s="96" t="str">
        <x:v>Check</x:v>
      </x:c>
      <x:c r="B3" s="96" t="str">
        <x:v>Actual</x:v>
      </x:c>
      <x:c r="C3" s="96" t="str">
        <x:v>Expected</x:v>
      </x:c>
      <x:c r="D3" s="96" t="str">
        <x:v>Difference</x:v>
      </x:c>
      <x:c r="E3" s="96" t="str">
        <x:v>Tolerance</x:v>
      </x:c>
      <x:c r="F3" s="96" t="str">
        <x:v>Status</x:v>
      </x:c>
      <x:c r="G3" s="96" t="str">
        <x:v>Notes</x:v>
      </x:c>
    </x:row>
    <x:row r="4">
      <x:c r="A4" s="22" t="str">
        <x:v>Forward parity: F_IMPLIED ≈ F0_in</x:v>
      </x:c>
      <x:c r="B4" s="120" t="n">
        <x:f>'Money_Market_Calc'!C8</x:f>
        <x:v>1.1733084755168277</x:v>
      </x:c>
      <x:c r="C4" s="120" t="n">
        <x:f>F0_in</x:f>
        <x:v>1.1733084755168277</x:v>
      </x:c>
      <x:c r="D4" s="120" t="n">
        <x:f>B4-C4</x:f>
        <x:v>0</x:v>
      </x:c>
      <x:c r="E4" s="120" t="n">
        <x:f>PARITY_TOL</x:f>
        <x:v>0.0001</x:v>
      </x:c>
      <x:c r="F4" s="125" t="str">
        <x:f>IF(ABS(D4)&lt;=E4,"OK","CHECK")</x:f>
        <x:v>OK</x:v>
      </x:c>
      <x:c r="G4" s="22" t="str">
        <x:v>USD/EUR</x:v>
      </x:c>
    </x:row>
    <x:row r="5">
      <x:c r="A5" s="22" t="str">
        <x:v>MM proceeds ≈ forward proceeds</x:v>
      </x:c>
      <x:c r="B5" s="121" t="n">
        <x:f>'Money_Market_Calc'!C6</x:f>
        <x:v>5279888.139825725</x:v>
      </x:c>
      <x:c r="C5" s="121" t="n">
        <x:f>'Forward_Calc'!B6</x:f>
        <x:v>5279888.139825725</x:v>
      </x:c>
      <x:c r="D5" s="121" t="n">
        <x:f>B5-C5</x:f>
        <x:v>0</x:v>
      </x:c>
      <x:c r="E5" s="121" t="n">
        <x:f>USD_TOL</x:f>
        <x:v>500</x:v>
      </x:c>
      <x:c r="F5" s="125" t="str">
        <x:f>IF(ABS(D5)&lt;=E5,"OK","CHECK")</x:f>
        <x:v>OK</x:v>
      </x:c>
      <x:c r="G5" s="22" t="str">
        <x:v>USD</x:v>
      </x:c>
    </x:row>
    <x:row r="6">
      <x:c r="A6" s="22" t="str">
        <x:v>FC borrowing repays receivable</x:v>
      </x:c>
      <x:c r="B6" s="121" t="n">
        <x:f>'Money_Market_Calc'!C4*(1+R_FC*T_DAYS/DAY_BASIS)</x:f>
        <x:v>4500000</x:v>
      </x:c>
      <x:c r="C6" s="121" t="n">
        <x:f>FC_AMT</x:f>
        <x:v>4500000</x:v>
      </x:c>
      <x:c r="D6" s="121" t="n">
        <x:f>B6-C6</x:f>
        <x:v>0</x:v>
      </x:c>
      <x:c r="E6" s="121" t="n">
        <x:f>AMT_TOL</x:f>
        <x:v>0.01</x:v>
      </x:c>
      <x:c r="F6" s="125" t="str">
        <x:f>IF(ABS(D6)&lt;=E6,"OK","CHECK")</x:f>
        <x:v>OK</x:v>
      </x:c>
      <x:c r="G6" s="22" t="str">
        <x:v>EUR</x:v>
      </x:c>
    </x:row>
    <x:row r="7">
      <x:c r="A7" s="22" t="str">
        <x:v>Put continuity at strike</x:v>
      </x:c>
      <x:c r="B7" s="121" t="n">
        <x:f>FC_AMT*MAX(K_PUT,K_PUT)-FC_AMT*PREM_PUT</x:f>
        <x:v>5095350</x:v>
      </x:c>
      <x:c r="C7" s="121" t="n">
        <x:f>FC_AMT*K_PUT-FC_AMT*PREM_PUT</x:f>
        <x:v>5095350</x:v>
      </x:c>
      <x:c r="D7" s="121" t="n">
        <x:f>B7-C7</x:f>
        <x:v>0</x:v>
      </x:c>
      <x:c r="E7" s="121" t="n">
        <x:f>AMT_TOL</x:f>
        <x:v>0.01</x:v>
      </x:c>
      <x:c r="F7" s="125" t="str">
        <x:f>IF(ABS(D7)&lt;=E7,"OK","CHECK")</x:f>
        <x:v>OK</x:v>
      </x:c>
      <x:c r="G7" s="22" t="str">
        <x:v>USD at strike</x:v>
      </x:c>
    </x:row>
    <x:row r="8">
      <x:c r="A8" s="22" t="str">
        <x:v>Call payoff at strike</x:v>
      </x:c>
      <x:c r="B8" s="121" t="n">
        <x:f>FC_AMT*MIN(K_CALL,K_CALL)+FC_AMT*PREM_CALL</x:f>
        <x:v>5320350</x:v>
      </x:c>
      <x:c r="C8" s="121" t="n">
        <x:f>FC_AMT*K_CALL+FC_AMT*PREM_CALL</x:f>
        <x:v>5320350</x:v>
      </x:c>
      <x:c r="D8" s="121" t="n">
        <x:f>B8-C8</x:f>
        <x:v>0</x:v>
      </x:c>
      <x:c r="E8" s="121" t="n">
        <x:f>AMT_TOL</x:f>
        <x:v>0.01</x:v>
      </x:c>
      <x:c r="F8" s="125" t="str">
        <x:f>IF(ABS(D8)&lt;=E8,"OK","CHECK")</x:f>
        <x:v>OK</x:v>
      </x:c>
      <x:c r="G8" s="22" t="str">
        <x:v>USD at strike</x:v>
      </x:c>
    </x:row>
    <x:row r="9">
      <x:c r="A9" s="22" t="str">
        <x:v>Sensitivity grid: formula-driven ±5%</x:v>
      </x:c>
      <x:c r="B9" s="126" t="n">
        <x:f>COUNT('Sensitivity'!B5:B15)</x:f>
        <x:v>11</x:v>
      </x:c>
      <x:c r="C9" s="126" t="n">
        <x:f>2*GRID_HALF_STEPS+1</x:f>
        <x:v>11</x:v>
      </x:c>
      <x:c r="D9" s="126" t="n">
        <x:f>B9-C9</x:f>
        <x:v>0</x:v>
      </x:c>
      <x:c r="E9" s="126" t="n">
        <x:f>0</x:f>
        <x:v>0</x:v>
      </x:c>
      <x:c r="F9" s="125" t="str">
        <x:f>IF(D9=0,"OK","CHECK")</x:f>
        <x:v>OK</x:v>
      </x:c>
      <x:c r="G9" s="22" t="str">
        <x:v>Required 11 scenarios</x:v>
      </x:c>
    </x:row>
    <x:row r="10">
      <x:c r="A10" s="22" t="str">
        <x:v>Sensitivity grid contains S0_in</x:v>
      </x:c>
      <x:c r="B10" s="126" t="n">
        <x:f>COUNTIF('Sensitivity'!B5:B15,S0_in)</x:f>
        <x:v>1</x:v>
      </x:c>
      <x:c r="C10" s="126" t="n">
        <x:f>1</x:f>
        <x:v>1</x:v>
      </x:c>
      <x:c r="D10" s="126" t="n">
        <x:f>B10-C10</x:f>
        <x:v>0</x:v>
      </x:c>
      <x:c r="E10" s="126" t="n">
        <x:f>0</x:f>
        <x:v>0</x:v>
      </x:c>
      <x:c r="F10" s="125" t="str">
        <x:f>IF(D10=0,"OK","CHECK")</x:f>
        <x:v>OK</x:v>
      </x:c>
      <x:c r="G10" s="22" t="str">
        <x:v>Baseline included</x:v>
      </x:c>
    </x:row>
    <x:row r="11">
      <x:c r="A11" s="110" t="str">
        <x:v>Overall Model Status</x:v>
      </x:c>
      <x:c r="B11" s="110"/>
      <x:c r="C11" s="110"/>
      <x:c r="D11" s="110"/>
      <x:c r="E11" s="110"/>
      <x:c r="F11" s="127" t="str">
        <x:f>IF(COUNTIF(F4:F10,"OK")=7,"OK","CHECK")</x:f>
        <x:v>OK</x:v>
      </x:c>
      <x:c r="G11" s="22"/>
    </x:row>
  </x:sheetData>
  <x:mergeCells>
    <x:mergeCell ref="A1:G1"/>
  </x:mergeCells>
  <x:conditionalFormatting sqref="F4:F11">
    <x:cfRule type="containsText" dxfId="0" priority="1" operator="containsText" text="OK"/>
    <x:cfRule type="containsText" dxfId="1" priority="2" operator="containsText" text="CHECK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28" customHeight="1">
      <x:c r="A1" s="4" t="str">
        <x:v>Notes &amp; Assumptions</x:v>
      </x:c>
      <x:c r="B1" s="4" t="str">
        <x:v>Notes &amp; Assumptions</x:v>
      </x:c>
      <x:c r="C1" s="4" t="str">
        <x:v>Notes &amp; Assumptions</x:v>
      </x:c>
      <x:c r="D1" s="4" t="str">
        <x:v>Notes &amp; Assumptions</x:v>
      </x:c>
      <x:c r="E1" s="4" t="str">
        <x:v>Notes &amp; Assumptions</x:v>
      </x:c>
      <x:c r="F1" s="4" t="str">
        <x:v>Notes &amp; Assumptions</x:v>
      </x:c>
    </x:row>
    <x:row r="3">
      <x:c r="A3" s="9" t="str">
        <x:v>Topic</x:v>
      </x:c>
      <x:c r="B3" s="9" t="str">
        <x:v>Specification</x:v>
      </x:c>
    </x:row>
    <x:row r="4">
      <x:c r="A4" s="63" t="str">
        <x:v>Scenario</x:v>
      </x:c>
      <x:c r="B4" s="111" t="str">
        <x:v>Scenario 1 — U.S. Solar Equipment Importer; EUR 4,500,000 receivable</x:v>
      </x:c>
    </x:row>
    <x:row r="5">
      <x:c r="A5" s="63" t="str">
        <x:v>Settlement</x:v>
      </x:c>
      <x:c r="B5" s="111" t="str">
        <x:v>2027-08-14; T_DAYS = 365</x:v>
      </x:c>
    </x:row>
    <x:row r="6">
      <x:c r="A6" s="63" t="str">
        <x:v>Quote convention</x:v>
      </x:c>
      <x:c r="B6" s="111" t="str">
        <x:v>USD per EUR; lower EURUSD is adverse to the receivable</x:v>
      </x:c>
    </x:row>
    <x:row r="7">
      <x:c r="A7" s="63" t="str">
        <x:v>Rate basis</x:v>
      </x:c>
      <x:c r="B7" s="111" t="str">
        <x:v>ACT/360 simple interest for both legs</x:v>
      </x:c>
    </x:row>
    <x:row r="8">
      <x:c r="A8" s="63" t="str">
        <x:v>Premium treatment</x:v>
      </x:c>
      <x:c r="B8" s="111" t="str">
        <x:v>USD premium paid at inception; deducted from reported settlement proceeds without financing</x:v>
      </x:c>
    </x:row>
    <x:row r="9">
      <x:c r="A9" s="63" t="str">
        <x:v>Excluded items</x:v>
      </x:c>
      <x:c r="B9" s="111" t="str">
        <x:v>Transaction costs, bid-ask, taxes, hedge accounting, credit risk, collateral, and premium financing</x:v>
      </x:c>
    </x:row>
    <x:row r="10">
      <x:c r="A10" s="63" t="str">
        <x:v>Stage 4 data protocol</x:v>
      </x:c>
      <x:c r="B10" s="111" t="str">
        <x:v>Live inputs populated 2026-08-14; source URLs and timestamps appear on the Sources tab</x:v>
      </x:c>
    </x:row>
  </x:sheetData>
  <x:mergeCells>
    <x:mergeCell ref="A1:F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30" hidden="0" customWidth="1"/>
    <x:col min="4" max="4" width="54" hidden="0" customWidth="1"/>
    <x:col min="5" max="5" width="24" hidden="0" customWidth="1"/>
    <x:col min="6" max="6" width="48" hidden="0" customWidth="1"/>
  </x:cols>
  <x:sheetData>
    <x:row r="1" ht="28" customHeight="1">
      <x:c r="A1" s="4" t="str">
        <x:v>Stage 4 Sources &amp; Retrieval Record</x:v>
      </x:c>
      <x:c r="B1" s="4" t="str">
        <x:v>Stage 4 Sources &amp; Retrieval Record</x:v>
      </x:c>
      <x:c r="C1" s="4" t="str">
        <x:v>Stage 4 Sources &amp; Retrieval Record</x:v>
      </x:c>
      <x:c r="D1" s="4" t="str">
        <x:v>Stage 4 Sources &amp; Retrieval Record</x:v>
      </x:c>
      <x:c r="E1" s="4" t="str">
        <x:v>Stage 4 Sources &amp; Retrieval Record</x:v>
      </x:c>
      <x:c r="F1" s="4" t="str">
        <x:v>Stage 4 Sources &amp; Retrieval Record</x:v>
      </x:c>
    </x:row>
    <x:row r="3">
      <x:c r="A3" s="9" t="str">
        <x:v>Input</x:v>
      </x:c>
      <x:c r="B3" s="9" t="str">
        <x:v>Value</x:v>
      </x:c>
      <x:c r="C3" s="9" t="str">
        <x:v>Source</x:v>
      </x:c>
      <x:c r="D3" s="9" t="str">
        <x:v>URL</x:v>
      </x:c>
      <x:c r="E3" s="9" t="str">
        <x:v>Retrieval timestamp</x:v>
      </x:c>
      <x:c r="F3" s="9" t="str">
        <x:v>Method / note</x:v>
      </x:c>
    </x:row>
    <x:row r="4">
      <x:c r="A4" s="112" t="str">
        <x:v>FC_AMT</x:v>
      </x:c>
      <x:c r="B4" s="99" t="n">
        <x:v>4500000</x:v>
      </x:c>
      <x:c r="C4" s="50" t="str">
        <x:v>Assigned Scenario 1 brief</x:v>
      </x:c>
      <x:c r="D4" s="50" t="str"/>
      <x:c r="E4" s="50" t="str"/>
      <x:c r="F4" s="50" t="str">
        <x:v>EUR receivable; unchanged</x:v>
      </x:c>
    </x:row>
    <x:row r="5">
      <x:c r="A5" s="112" t="str">
        <x:v>T_DAYS</x:v>
      </x:c>
      <x:c r="B5" s="109" t="n">
        <x:v>365</x:v>
      </x:c>
      <x:c r="C5" s="50" t="str">
        <x:v>Assigned Scenario 1 brief</x:v>
      </x:c>
      <x:c r="D5" s="50" t="str"/>
      <x:c r="E5" s="50" t="str"/>
      <x:c r="F5" s="50" t="str">
        <x:v>Settlement horizon; unchanged</x:v>
      </x:c>
    </x:row>
    <x:row r="6">
      <x:c r="A6" s="112" t="str">
        <x:v>S0_in</x:v>
      </x:c>
      <x:c r="B6" s="98" t="n">
        <x:v>1.1573</x:v>
      </x:c>
      <x:c r="C6" s="50" t="str">
        <x:v>Yahoo Finance EURUSD=X</x:v>
      </x:c>
      <x:c r="D6" s="50" t="str">
        <x:v>https://finance.yahoo.com/quote/EURUSD%3DX/</x:v>
      </x:c>
      <x:c r="E6" s="50" t="str">
        <x:v>2026-08-14 20:42 HST</x:v>
      </x:c>
      <x:c r="F6" s="50" t="str">
        <x:v>EURUSD spot, USD per EUR</x:v>
      </x:c>
    </x:row>
    <x:row r="7">
      <x:c r="A7" s="112" t="str">
        <x:v>R_USD</x:v>
      </x:c>
      <x:c r="B7" s="113" t="n">
        <x:v>0.0398</x:v>
      </x:c>
      <x:c r="C7" s="50" t="str">
        <x:v>U.S. Treasury Daily Par Yield Curve</x:v>
      </x:c>
      <x:c r="D7" s="50" t="str">
        <x:v>https://home.treasury.gov/resource-center/data-chart-center/interest-rates/TextView?type=daily_treasury_yield_curve</x:v>
      </x:c>
      <x:c r="E7" s="50" t="str">
        <x:v>2026-08-14 20:58 HST</x:v>
      </x:c>
      <x:c r="F7" s="50" t="str">
        <x:v>1-year Treasury yield proxy</x:v>
      </x:c>
    </x:row>
    <x:row r="8">
      <x:c r="A8" s="112" t="str">
        <x:v>R_FC</x:v>
      </x:c>
      <x:c r="B8" s="113" t="n">
        <x:v>0.0258</x:v>
      </x:c>
      <x:c r="C8" s="50" t="str">
        <x:v>ECB Data Portal</x:v>
      </x:c>
      <x:c r="D8" s="50" t="str">
        <x:v>https://data.ecb.europa.eu/key-figures/financial-markets-and-securities/financial-markets-and-interest-rates</x:v>
      </x:c>
      <x:c r="E8" s="50" t="str">
        <x:v>2026-08-13</x:v>
      </x:c>
      <x:c r="F8" s="50" t="str">
        <x:v>AAA yield curve - 1-year euro-area spot rate</x:v>
      </x:c>
    </x:row>
    <x:row r="9">
      <x:c r="A9" s="112" t="str">
        <x:v>F0_in</x:v>
      </x:c>
      <x:c r="B9" s="98" t="n">
        <x:v>1.1733084755168277</x:v>
      </x:c>
      <x:c r="C9" s="50" t="str">
        <x:v>Computed CIP</x:v>
      </x:c>
      <x:c r="D9" s="50" t="str"/>
      <x:c r="E9" s="50" t="str">
        <x:v>2026-08-14 20:58 HST</x:v>
      </x:c>
      <x:c r="F9" s="50" t="str">
        <x:v>S0_in x (1+R_USD x T_DAYS/360) / (1+R_FC x T_DAYS/360)</x:v>
      </x:c>
    </x:row>
    <x:row r="10">
      <x:c r="A10" s="112" t="str">
        <x:v>K_PUT</x:v>
      </x:c>
      <x:c r="B10" s="98" t="n">
        <x:v>1.1573</x:v>
      </x:c>
      <x:c r="C10" s="50" t="str">
        <x:v>Derived from S0_in</x:v>
      </x:c>
      <x:c r="D10" s="50" t="str">
        <x:v>https://finance.yahoo.com/quote/EURUSD%3DX/</x:v>
      </x:c>
      <x:c r="E10" s="50" t="str">
        <x:v>2026-08-14 20:42 HST</x:v>
      </x:c>
      <x:c r="F10" s="50" t="str">
        <x:v>At-the-money strike</x:v>
      </x:c>
    </x:row>
    <x:row r="11">
      <x:c r="A11" s="112" t="str">
        <x:v>K_CALL</x:v>
      </x:c>
      <x:c r="B11" s="98" t="n">
        <x:v>1.1573</x:v>
      </x:c>
      <x:c r="C11" s="50" t="str">
        <x:v>Derived from S0_in</x:v>
      </x:c>
      <x:c r="D11" s="50" t="str">
        <x:v>https://finance.yahoo.com/quote/EURUSD%3DX/</x:v>
      </x:c>
      <x:c r="E11" s="50" t="str">
        <x:v>2026-08-14 20:42 HST</x:v>
      </x:c>
      <x:c r="F11" s="50" t="str">
        <x:v>At-the-money strike</x:v>
      </x:c>
    </x:row>
    <x:row r="12">
      <x:c r="A12" s="112" t="str">
        <x:v>PREM_PUT</x:v>
      </x:c>
      <x:c r="B12" s="98" t="n">
        <x:v>0.025</x:v>
      </x:c>
      <x:c r="C12" s="50" t="str">
        <x:v>Assigned Scenario 1 brief</x:v>
      </x:c>
      <x:c r="D12" s="50" t="str"/>
      <x:c r="E12" s="50" t="str"/>
      <x:c r="F12" s="50" t="str">
        <x:v>Scenario-provided premium assumption</x:v>
      </x:c>
    </x:row>
    <x:row r="13">
      <x:c r="A13" s="112" t="str">
        <x:v>PREM_CALL</x:v>
      </x:c>
      <x:c r="B13" s="98" t="n">
        <x:v>0.025</x:v>
      </x:c>
      <x:c r="C13" s="50" t="str">
        <x:v>Assigned Scenario 1 brief</x:v>
      </x:c>
      <x:c r="D13" s="50" t="str"/>
      <x:c r="E13" s="50" t="str"/>
      <x:c r="F13" s="50" t="str">
        <x:v>Scenario-provided premium assumption</x:v>
      </x:c>
    </x:row>
    <x:row r="15" ht="26" customHeight="1">
      <x:c r="A15" s="114" t="str">
        <x:v>Rates are annualized market-yield proxies. The model applies the assignment-required ACT/360 simple-interest convention to calculate F0_in. The forward is computed rather than sourced as a live dealer quote.</x:v>
      </x:c>
    </x:row>
    <x:row r="16" ht="26" customHeight="1"/>
    <x:row r="17" ht="26" customHeight="1"/>
  </x:sheetData>
  <x:mergeCells>
    <x:mergeCell ref="A1:F1"/>
    <x:mergeCell ref="A15:F17"/>
  </x:mergeCells>
  <x:pageMargins left="0.7" right="0.7" top="0.75" bottom="0.75" header="0.3" footer="0.3"/>
</x:worksheet>
</file>